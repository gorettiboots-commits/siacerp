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4838c53cc8410ab/Desktop/"/>
    </mc:Choice>
  </mc:AlternateContent>
  <xr:revisionPtr revIDLastSave="0" documentId="8_{ED717173-D0E9-44AB-ACF9-A09F3D4ED700}" xr6:coauthVersionLast="47" xr6:coauthVersionMax="47" xr10:uidLastSave="{00000000-0000-0000-0000-000000000000}"/>
  <bookViews>
    <workbookView xWindow="-120" yWindow="-120" windowWidth="29040" windowHeight="15720" firstSheet="35" activeTab="38" xr2:uid="{00000000-000D-0000-FFFF-FFFF00000000}"/>
  </bookViews>
  <sheets>
    <sheet name="29 Sep - 04 Oct" sheetId="1" r:id="rId1"/>
    <sheet name="06-11 Octubre" sheetId="2" r:id="rId2"/>
    <sheet name="13-18 Octubre" sheetId="3" r:id="rId3"/>
    <sheet name="20-25 Octubre" sheetId="4" r:id="rId4"/>
    <sheet name="27 Oct - 01 Nov" sheetId="5" r:id="rId5"/>
    <sheet name="03-08 Noviembre" sheetId="6" r:id="rId6"/>
    <sheet name="10-15 Noviembre" sheetId="7" r:id="rId7"/>
    <sheet name="17-22 Noviembre" sheetId="8" r:id="rId8"/>
    <sheet name="24-29 Noviembre" sheetId="9" r:id="rId9"/>
    <sheet name="01-06 Diciembre" sheetId="10" r:id="rId10"/>
    <sheet name="08-13 Diciembre" sheetId="11" r:id="rId11"/>
    <sheet name="05-10 Enero 2026" sheetId="12" r:id="rId12"/>
    <sheet name="12-17 Enero 2026" sheetId="13" r:id="rId13"/>
    <sheet name="19-24 Enero 2026" sheetId="14" r:id="rId14"/>
    <sheet name="26-31 Enero 2026" sheetId="15" r:id="rId15"/>
    <sheet name="02-07 Febrero 2026" sheetId="16" r:id="rId16"/>
    <sheet name="09-17 Febrero 2026" sheetId="17" r:id="rId17"/>
    <sheet name="16-21 Febrero 2026" sheetId="18" r:id="rId18"/>
    <sheet name="23-28 Febrero 2026" sheetId="19" r:id="rId19"/>
    <sheet name="02-07 Marzo 2026" sheetId="20" r:id="rId20"/>
    <sheet name="09-14 Marzo 2026" sheetId="21" r:id="rId21"/>
    <sheet name="16-21 Marzo 2026" sheetId="22" r:id="rId22"/>
    <sheet name="23-28 Marzo 2026" sheetId="23" r:id="rId23"/>
    <sheet name="06-11 Abril 2026" sheetId="24" r:id="rId24"/>
    <sheet name="13-18 Abril 2026" sheetId="25" r:id="rId25"/>
    <sheet name="20-25 Abril 2026" sheetId="26" r:id="rId26"/>
    <sheet name="27 Abril - 02 Mayo" sheetId="27" r:id="rId27"/>
    <sheet name="04-09 Mayo 2026" sheetId="28" r:id="rId28"/>
    <sheet name="11-16 Mayo 2026" sheetId="29" r:id="rId29"/>
    <sheet name="18-23 Mayo 2026" sheetId="30" r:id="rId30"/>
    <sheet name="25-30 Mayo 2026" sheetId="31" r:id="rId31"/>
    <sheet name="01-06 Junio 2026" sheetId="32" r:id="rId32"/>
    <sheet name="08-13 Junio 2026" sheetId="33" r:id="rId33"/>
    <sheet name="15-20 Junio 2026" sheetId="34" r:id="rId34"/>
    <sheet name="22-27 Junio 2026" sheetId="35" r:id="rId35"/>
    <sheet name="29 Junio-04 Julio 2026" sheetId="36" r:id="rId36"/>
    <sheet name="06-11 Julio 2026" sheetId="37" r:id="rId37"/>
    <sheet name="13-18 Julio 2026" sheetId="38" r:id="rId38"/>
    <sheet name="03-07 agosto 2026" sheetId="40" r:id="rId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9" i="40" l="1"/>
  <c r="T15" i="40"/>
  <c r="T16" i="40"/>
  <c r="T17" i="40"/>
  <c r="T18" i="40"/>
  <c r="T14" i="40"/>
  <c r="P45" i="40"/>
  <c r="P46" i="40"/>
  <c r="P47" i="40"/>
  <c r="P48" i="40"/>
  <c r="P49" i="40"/>
  <c r="P43" i="40" l="1"/>
  <c r="P44" i="40"/>
  <c r="T13" i="40"/>
  <c r="T12" i="40"/>
  <c r="T10" i="40"/>
  <c r="T11" i="40"/>
  <c r="T9" i="40"/>
  <c r="P42" i="40"/>
  <c r="T8" i="40"/>
  <c r="T7" i="40"/>
  <c r="T6" i="40"/>
  <c r="T5" i="40"/>
  <c r="T4" i="40"/>
  <c r="T3" i="40"/>
  <c r="C69" i="40"/>
  <c r="C39" i="40"/>
  <c r="B70" i="40" l="1"/>
  <c r="D49" i="36" l="1"/>
  <c r="D50" i="36"/>
  <c r="D51" i="36"/>
  <c r="D53" i="36"/>
  <c r="D54" i="36"/>
  <c r="D55" i="36"/>
  <c r="D56" i="36"/>
  <c r="D52" i="36"/>
  <c r="D29" i="38" l="1"/>
  <c r="D30" i="38"/>
  <c r="D31" i="38"/>
  <c r="D32" i="38"/>
  <c r="D33" i="38"/>
  <c r="D34" i="38"/>
  <c r="D35" i="38"/>
  <c r="D36" i="38"/>
  <c r="D37" i="38"/>
  <c r="D38" i="38"/>
  <c r="D60" i="38" l="1"/>
  <c r="D61" i="38"/>
  <c r="D62" i="38"/>
  <c r="D63" i="38"/>
  <c r="D64" i="38"/>
  <c r="D65" i="38"/>
  <c r="D66" i="38"/>
  <c r="D67" i="38"/>
  <c r="D68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21" i="38"/>
  <c r="D22" i="38"/>
  <c r="D23" i="38"/>
  <c r="D24" i="38"/>
  <c r="D25" i="38"/>
  <c r="D26" i="38"/>
  <c r="D27" i="38"/>
  <c r="D28" i="38"/>
  <c r="D45" i="38"/>
  <c r="D46" i="38"/>
  <c r="D47" i="38"/>
  <c r="D43" i="38"/>
  <c r="D44" i="38"/>
  <c r="D42" i="38"/>
  <c r="D4" i="38"/>
  <c r="D5" i="38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3" i="38"/>
  <c r="D39" i="38" s="1"/>
  <c r="D69" i="38" l="1"/>
  <c r="C70" i="38" s="1"/>
  <c r="D52" i="37" l="1"/>
  <c r="D53" i="37" l="1"/>
  <c r="D54" i="37"/>
  <c r="D55" i="37"/>
  <c r="D56" i="37" l="1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D47" i="37"/>
  <c r="D48" i="37"/>
  <c r="D4" i="37" l="1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3" i="37"/>
  <c r="D49" i="37" s="1"/>
  <c r="C57" i="37" s="1"/>
  <c r="D57" i="36" l="1"/>
  <c r="D22" i="36" l="1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" i="36" l="1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3" i="36"/>
  <c r="D46" i="36" s="1"/>
  <c r="C58" i="36" s="1"/>
  <c r="D51" i="35" l="1"/>
  <c r="D50" i="35"/>
  <c r="D52" i="35" s="1"/>
  <c r="D38" i="35" l="1"/>
  <c r="D39" i="35"/>
  <c r="D40" i="35"/>
  <c r="D41" i="35"/>
  <c r="D42" i="35"/>
  <c r="D43" i="35"/>
  <c r="D44" i="35"/>
  <c r="D45" i="35"/>
  <c r="D29" i="35" l="1"/>
  <c r="D30" i="35"/>
  <c r="D31" i="35"/>
  <c r="D32" i="35"/>
  <c r="D33" i="35"/>
  <c r="D34" i="35"/>
  <c r="D35" i="35"/>
  <c r="D36" i="35"/>
  <c r="D37" i="35"/>
  <c r="D8" i="35" l="1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4" i="35"/>
  <c r="D5" i="35"/>
  <c r="D6" i="35"/>
  <c r="D7" i="35"/>
  <c r="D3" i="35"/>
  <c r="D46" i="35" l="1"/>
  <c r="C53" i="35" s="1"/>
  <c r="D48" i="34"/>
  <c r="D42" i="34"/>
  <c r="D43" i="34"/>
  <c r="D44" i="34"/>
  <c r="D45" i="34"/>
  <c r="D46" i="34"/>
  <c r="D47" i="34"/>
  <c r="D41" i="34"/>
  <c r="D38" i="34"/>
  <c r="D27" i="34" l="1"/>
  <c r="D28" i="34"/>
  <c r="D29" i="34"/>
  <c r="D30" i="34"/>
  <c r="D31" i="34"/>
  <c r="D32" i="34"/>
  <c r="D33" i="34"/>
  <c r="D4" i="34" l="1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3" i="34"/>
  <c r="D34" i="34" s="1"/>
  <c r="D39" i="34"/>
  <c r="D40" i="34"/>
  <c r="D49" i="34" l="1"/>
  <c r="C50" i="34" s="1"/>
  <c r="D51" i="33"/>
  <c r="D52" i="33"/>
  <c r="D50" i="33"/>
  <c r="D47" i="33"/>
  <c r="D48" i="33"/>
  <c r="D49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22" i="33" l="1"/>
  <c r="D23" i="33"/>
  <c r="D24" i="33"/>
  <c r="D25" i="33"/>
  <c r="D26" i="33"/>
  <c r="D27" i="33"/>
  <c r="D28" i="33"/>
  <c r="D29" i="33"/>
  <c r="D30" i="33"/>
  <c r="D31" i="33"/>
  <c r="D4" i="33" l="1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3" i="33"/>
  <c r="D53" i="33" l="1"/>
  <c r="D28" i="32"/>
  <c r="D15" i="32"/>
  <c r="D16" i="32"/>
  <c r="D17" i="32"/>
  <c r="D18" i="32"/>
  <c r="D19" i="32"/>
  <c r="D20" i="32"/>
  <c r="D21" i="32"/>
  <c r="D22" i="32"/>
  <c r="D27" i="32"/>
  <c r="D37" i="32" l="1"/>
  <c r="D34" i="32" l="1"/>
  <c r="D35" i="32"/>
  <c r="D36" i="32"/>
  <c r="D33" i="32"/>
  <c r="D38" i="32" s="1"/>
  <c r="D4" i="32"/>
  <c r="D5" i="32"/>
  <c r="D6" i="32"/>
  <c r="D7" i="32"/>
  <c r="D8" i="32"/>
  <c r="D9" i="32"/>
  <c r="D10" i="32"/>
  <c r="D11" i="32"/>
  <c r="D12" i="32"/>
  <c r="D13" i="32"/>
  <c r="D14" i="32"/>
  <c r="D23" i="32"/>
  <c r="D24" i="32"/>
  <c r="D25" i="32"/>
  <c r="D26" i="32"/>
  <c r="D3" i="32"/>
  <c r="D29" i="32" s="1"/>
  <c r="C39" i="32" s="1"/>
  <c r="D24" i="31" l="1"/>
  <c r="D25" i="31"/>
  <c r="D26" i="31"/>
  <c r="D15" i="31" l="1"/>
  <c r="D16" i="31"/>
  <c r="D17" i="31"/>
  <c r="D18" i="31"/>
  <c r="D19" i="31"/>
  <c r="D20" i="31"/>
  <c r="D21" i="31"/>
  <c r="D22" i="31"/>
  <c r="D23" i="31"/>
  <c r="D34" i="31" l="1"/>
  <c r="D35" i="31"/>
  <c r="D36" i="31"/>
  <c r="D4" i="31"/>
  <c r="D5" i="31"/>
  <c r="D6" i="31"/>
  <c r="D7" i="31"/>
  <c r="D8" i="31"/>
  <c r="D9" i="31"/>
  <c r="D10" i="31"/>
  <c r="D11" i="31"/>
  <c r="D12" i="31"/>
  <c r="D13" i="31"/>
  <c r="D14" i="31"/>
  <c r="D3" i="31"/>
  <c r="D33" i="31"/>
  <c r="D32" i="31"/>
  <c r="D27" i="31" l="1"/>
  <c r="D37" i="31"/>
  <c r="D30" i="30"/>
  <c r="C38" i="31" l="1"/>
  <c r="D26" i="30"/>
  <c r="D27" i="30"/>
  <c r="D28" i="30"/>
  <c r="D29" i="30"/>
  <c r="D12" i="30"/>
  <c r="D13" i="30"/>
  <c r="D14" i="30"/>
  <c r="D15" i="30"/>
  <c r="D11" i="30"/>
  <c r="D4" i="30"/>
  <c r="D5" i="30"/>
  <c r="D6" i="30"/>
  <c r="D7" i="30"/>
  <c r="D8" i="30"/>
  <c r="D9" i="30"/>
  <c r="D10" i="30"/>
  <c r="D16" i="30"/>
  <c r="D17" i="30"/>
  <c r="D18" i="30"/>
  <c r="D19" i="30"/>
  <c r="D20" i="30"/>
  <c r="D21" i="30"/>
  <c r="D22" i="30"/>
  <c r="D3" i="30"/>
  <c r="D31" i="30" l="1"/>
  <c r="D23" i="30"/>
  <c r="C32" i="30" s="1"/>
  <c r="D26" i="29"/>
  <c r="D27" i="29"/>
  <c r="D28" i="29"/>
  <c r="D29" i="29"/>
  <c r="D30" i="29"/>
  <c r="D31" i="29"/>
  <c r="D37" i="29" l="1"/>
  <c r="D36" i="29" l="1"/>
  <c r="D35" i="29"/>
  <c r="D38" i="29" s="1"/>
  <c r="D19" i="29"/>
  <c r="D20" i="29"/>
  <c r="D21" i="29"/>
  <c r="D22" i="29"/>
  <c r="D23" i="29"/>
  <c r="D24" i="29"/>
  <c r="D25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3" i="29"/>
  <c r="D32" i="29" l="1"/>
  <c r="C39" i="29" s="1"/>
  <c r="D26" i="28"/>
  <c r="D25" i="28"/>
  <c r="D24" i="28"/>
  <c r="D23" i="28"/>
  <c r="D4" i="28" l="1"/>
  <c r="D5" i="28"/>
  <c r="D6" i="28"/>
  <c r="D7" i="28"/>
  <c r="D8" i="28"/>
  <c r="D9" i="28"/>
  <c r="D10" i="28"/>
  <c r="D11" i="28"/>
  <c r="D12" i="28"/>
  <c r="D13" i="28"/>
  <c r="D14" i="28"/>
  <c r="D15" i="28"/>
  <c r="D16" i="28"/>
  <c r="D3" i="28"/>
  <c r="D17" i="28" l="1"/>
  <c r="D22" i="28"/>
  <c r="D21" i="28"/>
  <c r="D27" i="28" s="1"/>
  <c r="C28" i="28" l="1"/>
  <c r="D25" i="27"/>
  <c r="D26" i="27"/>
  <c r="D19" i="27" l="1"/>
  <c r="D20" i="27"/>
  <c r="D21" i="27"/>
  <c r="D22" i="27"/>
  <c r="D23" i="27"/>
  <c r="D24" i="27"/>
  <c r="D18" i="27"/>
  <c r="D32" i="27" l="1"/>
  <c r="D33" i="27"/>
  <c r="D31" i="27"/>
  <c r="D34" i="27" s="1"/>
  <c r="D4" i="27" l="1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3" i="27"/>
  <c r="D27" i="27" l="1"/>
  <c r="C35" i="27" s="1"/>
  <c r="D34" i="26"/>
  <c r="D35" i="26"/>
  <c r="D33" i="26"/>
  <c r="D31" i="26" l="1"/>
  <c r="D32" i="26"/>
  <c r="D30" i="26"/>
  <c r="D13" i="26" l="1"/>
  <c r="D29" i="26"/>
  <c r="D23" i="26"/>
  <c r="D24" i="26"/>
  <c r="D25" i="26"/>
  <c r="D26" i="26"/>
  <c r="D27" i="26"/>
  <c r="D28" i="26"/>
  <c r="D18" i="26" l="1"/>
  <c r="D19" i="26"/>
  <c r="D20" i="26"/>
  <c r="D21" i="26"/>
  <c r="D22" i="26"/>
  <c r="D17" i="26"/>
  <c r="D36" i="26" l="1"/>
  <c r="D4" i="26"/>
  <c r="D5" i="26"/>
  <c r="D6" i="26"/>
  <c r="D7" i="26"/>
  <c r="D8" i="26"/>
  <c r="D9" i="26"/>
  <c r="D10" i="26"/>
  <c r="D11" i="26"/>
  <c r="D12" i="26"/>
  <c r="D3" i="26"/>
  <c r="D14" i="26" l="1"/>
  <c r="C37" i="26"/>
  <c r="D26" i="25"/>
  <c r="D27" i="25"/>
  <c r="D28" i="25"/>
  <c r="D17" i="25"/>
  <c r="D18" i="25"/>
  <c r="D16" i="25"/>
  <c r="D25" i="25"/>
  <c r="D24" i="25"/>
  <c r="D4" i="25" l="1"/>
  <c r="D5" i="25"/>
  <c r="D6" i="25"/>
  <c r="D7" i="25"/>
  <c r="D8" i="25"/>
  <c r="D9" i="25"/>
  <c r="D10" i="25"/>
  <c r="D11" i="25"/>
  <c r="D12" i="25"/>
  <c r="D13" i="25"/>
  <c r="D14" i="25"/>
  <c r="D15" i="25"/>
  <c r="D3" i="25"/>
  <c r="D46" i="24" l="1"/>
  <c r="D23" i="24" l="1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6" i="24" l="1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4" i="24" l="1"/>
  <c r="D5" i="24"/>
  <c r="D21" i="24"/>
  <c r="D22" i="24"/>
  <c r="D3" i="24"/>
  <c r="D37" i="24" l="1"/>
  <c r="D17" i="23"/>
  <c r="D18" i="23"/>
  <c r="D12" i="23" l="1"/>
  <c r="D13" i="23"/>
  <c r="D14" i="23"/>
  <c r="D15" i="23"/>
  <c r="D16" i="23"/>
  <c r="D10" i="23"/>
  <c r="D11" i="23"/>
  <c r="D4" i="23" l="1"/>
  <c r="D5" i="23"/>
  <c r="D6" i="23"/>
  <c r="D7" i="23"/>
  <c r="D8" i="23"/>
  <c r="D9" i="23"/>
  <c r="D3" i="23"/>
  <c r="D22" i="22" l="1"/>
  <c r="D23" i="22"/>
  <c r="D24" i="22"/>
  <c r="D25" i="22"/>
  <c r="D26" i="22"/>
  <c r="D27" i="22"/>
  <c r="D21" i="22"/>
  <c r="D14" i="22"/>
  <c r="D15" i="22"/>
  <c r="D16" i="22"/>
  <c r="D17" i="22"/>
  <c r="D18" i="22"/>
  <c r="D19" i="22"/>
  <c r="D20" i="22"/>
  <c r="D13" i="22" l="1"/>
  <c r="D4" i="22" l="1"/>
  <c r="D5" i="22"/>
  <c r="D6" i="22"/>
  <c r="D7" i="22"/>
  <c r="D8" i="22"/>
  <c r="D9" i="22"/>
  <c r="D10" i="22"/>
  <c r="D11" i="22"/>
  <c r="D12" i="22"/>
  <c r="D3" i="22"/>
  <c r="D23" i="21" l="1"/>
  <c r="D24" i="21"/>
  <c r="D25" i="21"/>
  <c r="D26" i="21"/>
  <c r="D27" i="21"/>
  <c r="D22" i="21" l="1"/>
  <c r="D21" i="21" l="1"/>
  <c r="D20" i="21"/>
  <c r="D32" i="21" l="1"/>
  <c r="D33" i="21"/>
  <c r="D34" i="21"/>
  <c r="D31" i="21"/>
  <c r="D4" i="21" l="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3" i="21"/>
  <c r="D30" i="20" l="1"/>
  <c r="D31" i="20"/>
  <c r="D32" i="20"/>
  <c r="D33" i="20"/>
  <c r="D34" i="20"/>
  <c r="D26" i="20" l="1"/>
  <c r="D27" i="20"/>
  <c r="D28" i="20"/>
  <c r="D29" i="20"/>
  <c r="D25" i="20" l="1"/>
  <c r="D4" i="20" l="1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3" i="20"/>
  <c r="D35" i="20" l="1"/>
  <c r="D17" i="19"/>
  <c r="D4" i="19" l="1"/>
  <c r="D5" i="19"/>
  <c r="D6" i="19"/>
  <c r="D7" i="19"/>
  <c r="D8" i="19"/>
  <c r="D9" i="19"/>
  <c r="D10" i="19"/>
  <c r="D11" i="19"/>
  <c r="D12" i="19"/>
  <c r="D13" i="19"/>
  <c r="D14" i="19"/>
  <c r="D15" i="19"/>
  <c r="D16" i="19"/>
  <c r="D3" i="19"/>
  <c r="D18" i="19" l="1"/>
  <c r="D35" i="18"/>
  <c r="D36" i="18"/>
  <c r="D37" i="18"/>
  <c r="D38" i="18"/>
  <c r="D39" i="18"/>
  <c r="D40" i="18"/>
  <c r="D41" i="18"/>
  <c r="D42" i="18"/>
  <c r="D43" i="18"/>
  <c r="D44" i="18"/>
  <c r="D45" i="18"/>
  <c r="D46" i="18"/>
  <c r="D31" i="18" l="1"/>
  <c r="D32" i="18"/>
  <c r="D33" i="18"/>
  <c r="D34" i="18"/>
  <c r="D21" i="18" l="1"/>
  <c r="D22" i="18"/>
  <c r="D23" i="18"/>
  <c r="D24" i="18"/>
  <c r="D25" i="18"/>
  <c r="D26" i="18"/>
  <c r="D27" i="18"/>
  <c r="D28" i="18"/>
  <c r="D29" i="18"/>
  <c r="D30" i="18"/>
  <c r="D32" i="17" l="1"/>
  <c r="D33" i="17"/>
  <c r="D34" i="17"/>
  <c r="D35" i="17"/>
  <c r="D4" i="18" l="1"/>
  <c r="D5" i="18"/>
  <c r="D6" i="18"/>
  <c r="D7" i="18"/>
  <c r="D8" i="18"/>
  <c r="D9" i="18"/>
  <c r="D50" i="18"/>
  <c r="D51" i="18"/>
  <c r="D52" i="18"/>
  <c r="D53" i="18"/>
  <c r="D10" i="18"/>
  <c r="D11" i="18"/>
  <c r="D12" i="18"/>
  <c r="D13" i="18"/>
  <c r="D14" i="18"/>
  <c r="D15" i="18"/>
  <c r="D16" i="18"/>
  <c r="D17" i="18"/>
  <c r="D18" i="18"/>
  <c r="D19" i="18"/>
  <c r="D20" i="18"/>
  <c r="D3" i="18"/>
  <c r="D54" i="18" l="1"/>
  <c r="D47" i="18"/>
  <c r="D23" i="17"/>
  <c r="D24" i="17"/>
  <c r="D25" i="17"/>
  <c r="D26" i="17"/>
  <c r="D27" i="17"/>
  <c r="D28" i="17"/>
  <c r="D29" i="17"/>
  <c r="D30" i="17"/>
  <c r="D31" i="17"/>
  <c r="D20" i="17" l="1"/>
  <c r="D21" i="17"/>
  <c r="D22" i="17"/>
  <c r="D4" i="17" l="1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3" i="17"/>
  <c r="D37" i="17" l="1"/>
  <c r="D35" i="16"/>
  <c r="D36" i="16"/>
  <c r="D37" i="16"/>
  <c r="D38" i="16"/>
  <c r="D34" i="16"/>
  <c r="D21" i="16" l="1"/>
  <c r="D22" i="16"/>
  <c r="D23" i="16"/>
  <c r="D24" i="16"/>
  <c r="D25" i="16"/>
  <c r="D26" i="16"/>
  <c r="D27" i="16"/>
  <c r="D28" i="16"/>
  <c r="D29" i="16"/>
  <c r="D30" i="16"/>
  <c r="D31" i="16"/>
  <c r="D32" i="16"/>
  <c r="D33" i="16"/>
  <c r="D19" i="16" l="1"/>
  <c r="D20" i="16"/>
  <c r="D4" i="16" l="1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3" i="16"/>
  <c r="D39" i="16" s="1"/>
  <c r="D24" i="15" l="1"/>
  <c r="D25" i="15"/>
  <c r="D26" i="15"/>
  <c r="D27" i="15"/>
  <c r="D28" i="15"/>
  <c r="D29" i="15"/>
  <c r="D23" i="15"/>
  <c r="D17" i="15" l="1"/>
  <c r="D18" i="15"/>
  <c r="D19" i="15"/>
  <c r="D20" i="15"/>
  <c r="D21" i="15"/>
  <c r="D22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3" i="15"/>
  <c r="D30" i="15" l="1"/>
  <c r="D4" i="14" l="1"/>
  <c r="D5" i="14"/>
  <c r="D6" i="14"/>
  <c r="D7" i="14"/>
  <c r="D8" i="14"/>
  <c r="D9" i="14"/>
  <c r="D10" i="14"/>
  <c r="D11" i="14"/>
  <c r="D12" i="14"/>
  <c r="D13" i="14"/>
  <c r="D3" i="14"/>
  <c r="D14" i="14" l="1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10" i="13" l="1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4" i="13" l="1"/>
  <c r="D5" i="13"/>
  <c r="D6" i="13"/>
  <c r="D7" i="13"/>
  <c r="D3" i="13"/>
  <c r="D8" i="13"/>
  <c r="D9" i="13"/>
  <c r="D49" i="13" l="1"/>
  <c r="D19" i="12" l="1"/>
  <c r="D20" i="12"/>
  <c r="D21" i="12"/>
  <c r="D22" i="12"/>
  <c r="D4" i="12" l="1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3" i="12"/>
  <c r="D23" i="12" s="1"/>
  <c r="D51" i="11" l="1"/>
  <c r="D52" i="11"/>
  <c r="D53" i="11"/>
  <c r="D54" i="11"/>
  <c r="D55" i="11"/>
  <c r="D56" i="11"/>
  <c r="D57" i="11"/>
  <c r="D58" i="11"/>
  <c r="D59" i="11"/>
  <c r="D60" i="11"/>
  <c r="D61" i="11"/>
  <c r="D62" i="11"/>
  <c r="D38" i="11" l="1"/>
  <c r="D39" i="11"/>
  <c r="D40" i="11"/>
  <c r="D41" i="11"/>
  <c r="D42" i="11"/>
  <c r="D43" i="11"/>
  <c r="D44" i="11"/>
  <c r="D45" i="11"/>
  <c r="D46" i="11"/>
  <c r="D47" i="11"/>
  <c r="D48" i="11"/>
  <c r="D49" i="11"/>
  <c r="D50" i="11"/>
  <c r="D27" i="11"/>
  <c r="D28" i="11"/>
  <c r="D29" i="11"/>
  <c r="D30" i="11"/>
  <c r="D31" i="11"/>
  <c r="D32" i="11"/>
  <c r="D33" i="11"/>
  <c r="D34" i="11"/>
  <c r="D35" i="11"/>
  <c r="D36" i="11"/>
  <c r="D37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13" i="11"/>
  <c r="D4" i="11"/>
  <c r="D5" i="11"/>
  <c r="D6" i="11"/>
  <c r="D7" i="11"/>
  <c r="D8" i="11"/>
  <c r="D9" i="11"/>
  <c r="D10" i="11"/>
  <c r="D11" i="11"/>
  <c r="D12" i="11"/>
  <c r="D3" i="11"/>
  <c r="D63" i="11" s="1"/>
  <c r="D55" i="10" l="1"/>
  <c r="D54" i="10" l="1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4" i="10" l="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" i="10"/>
  <c r="D56" i="10" l="1"/>
  <c r="D5" i="9"/>
  <c r="D26" i="9"/>
  <c r="D27" i="9"/>
  <c r="D28" i="9"/>
  <c r="D29" i="9"/>
  <c r="D25" i="9" l="1"/>
  <c r="D24" i="9" l="1"/>
  <c r="D17" i="9" l="1"/>
  <c r="D18" i="9"/>
  <c r="D19" i="9"/>
  <c r="D20" i="9"/>
  <c r="D21" i="9"/>
  <c r="D22" i="9"/>
  <c r="D23" i="9"/>
  <c r="D16" i="9"/>
  <c r="D15" i="9" l="1"/>
  <c r="D12" i="9" l="1"/>
  <c r="D13" i="9"/>
  <c r="D14" i="9"/>
  <c r="D6" i="9" l="1"/>
  <c r="D7" i="9"/>
  <c r="D8" i="9"/>
  <c r="D9" i="9"/>
  <c r="D10" i="9"/>
  <c r="D11" i="9"/>
  <c r="D4" i="9" l="1"/>
  <c r="D3" i="9"/>
  <c r="D30" i="9" s="1"/>
  <c r="D43" i="8" l="1"/>
  <c r="D36" i="8"/>
  <c r="D37" i="8"/>
  <c r="D38" i="8"/>
  <c r="D39" i="8"/>
  <c r="D40" i="8"/>
  <c r="D41" i="8"/>
  <c r="D42" i="8"/>
  <c r="E50" i="1" l="1"/>
  <c r="D25" i="8" l="1"/>
  <c r="D14" i="8"/>
  <c r="D15" i="8"/>
  <c r="D17" i="8"/>
  <c r="D4" i="8"/>
  <c r="D5" i="8"/>
  <c r="D6" i="8"/>
  <c r="D7" i="8"/>
  <c r="D8" i="8"/>
  <c r="D9" i="8"/>
  <c r="D10" i="8"/>
  <c r="D11" i="8"/>
  <c r="D12" i="8"/>
  <c r="D13" i="8"/>
  <c r="D16" i="8"/>
  <c r="D18" i="8"/>
  <c r="D19" i="8"/>
  <c r="D20" i="8"/>
  <c r="D21" i="8"/>
  <c r="D22" i="8"/>
  <c r="D23" i="8"/>
  <c r="D24" i="8"/>
  <c r="D26" i="8"/>
  <c r="D27" i="8"/>
  <c r="D28" i="8"/>
  <c r="D29" i="8"/>
  <c r="D30" i="8"/>
  <c r="D31" i="8"/>
  <c r="D32" i="8"/>
  <c r="D33" i="8"/>
  <c r="D34" i="8"/>
  <c r="D35" i="8"/>
  <c r="D44" i="8" l="1"/>
  <c r="D4" i="7"/>
  <c r="D5" i="7"/>
  <c r="D6" i="7"/>
  <c r="D7" i="7"/>
  <c r="D8" i="7"/>
  <c r="D9" i="7"/>
  <c r="D3" i="7"/>
  <c r="D10" i="7" s="1"/>
  <c r="D28" i="6" l="1"/>
  <c r="D29" i="6"/>
  <c r="D27" i="6"/>
  <c r="D26" i="6" l="1"/>
  <c r="D20" i="6" l="1"/>
  <c r="D21" i="6"/>
  <c r="D22" i="6"/>
  <c r="D23" i="6"/>
  <c r="D24" i="6"/>
  <c r="D25" i="6"/>
  <c r="D7" i="6" l="1"/>
  <c r="D8" i="6"/>
  <c r="D9" i="6"/>
  <c r="D10" i="6"/>
  <c r="D11" i="6"/>
  <c r="D12" i="6"/>
  <c r="D13" i="6"/>
  <c r="D14" i="6"/>
  <c r="D15" i="6"/>
  <c r="D16" i="6"/>
  <c r="D17" i="6"/>
  <c r="D18" i="6"/>
  <c r="D19" i="6"/>
  <c r="D6" i="6"/>
  <c r="D4" i="6" l="1"/>
  <c r="D5" i="6"/>
  <c r="D3" i="6"/>
  <c r="D30" i="6" s="1"/>
  <c r="D29" i="5" l="1"/>
  <c r="D28" i="5"/>
  <c r="D27" i="5"/>
  <c r="D30" i="5" l="1"/>
  <c r="D18" i="5"/>
  <c r="D19" i="5"/>
  <c r="D20" i="5"/>
  <c r="D21" i="5"/>
  <c r="D22" i="5"/>
  <c r="D23" i="5"/>
  <c r="D9" i="5" l="1"/>
  <c r="D10" i="5"/>
  <c r="D11" i="5"/>
  <c r="D12" i="5"/>
  <c r="D13" i="5"/>
  <c r="D14" i="5"/>
  <c r="D15" i="5"/>
  <c r="D16" i="5"/>
  <c r="D17" i="5"/>
  <c r="D8" i="5"/>
  <c r="D7" i="5"/>
  <c r="D6" i="5"/>
  <c r="D5" i="5"/>
  <c r="D4" i="5"/>
  <c r="D3" i="5"/>
  <c r="D24" i="5" l="1"/>
  <c r="D7" i="4"/>
  <c r="D8" i="4"/>
  <c r="D9" i="4"/>
  <c r="D10" i="4"/>
  <c r="D6" i="4"/>
  <c r="D5" i="4"/>
  <c r="D4" i="4"/>
  <c r="D3" i="4"/>
  <c r="D11" i="4" s="1"/>
  <c r="D41" i="3" l="1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3" i="3"/>
  <c r="D56" i="3" l="1"/>
  <c r="D5" i="2"/>
  <c r="R50" i="1" l="1"/>
  <c r="F50" i="1" l="1"/>
  <c r="G50" i="1"/>
  <c r="H50" i="1"/>
  <c r="I50" i="1"/>
  <c r="J50" i="1"/>
  <c r="K50" i="1"/>
  <c r="L50" i="1"/>
  <c r="M50" i="1"/>
  <c r="N50" i="1"/>
  <c r="O50" i="1"/>
  <c r="P50" i="1"/>
  <c r="Q50" i="1"/>
  <c r="D3" i="2"/>
  <c r="D4" i="2"/>
  <c r="D8" i="1"/>
  <c r="D9" i="1"/>
  <c r="D10" i="1"/>
  <c r="D3" i="1"/>
  <c r="D4" i="1"/>
  <c r="D5" i="1"/>
  <c r="D6" i="1"/>
  <c r="D7" i="1"/>
  <c r="D36" i="1"/>
  <c r="D13" i="1"/>
  <c r="D14" i="1"/>
  <c r="D15" i="1"/>
  <c r="D16" i="1"/>
  <c r="D17" i="1"/>
  <c r="D12" i="1"/>
  <c r="D49" i="1"/>
  <c r="D32" i="1"/>
  <c r="D11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3" i="1"/>
  <c r="D34" i="1"/>
  <c r="D35" i="1"/>
  <c r="D37" i="1"/>
  <c r="D38" i="1"/>
  <c r="D39" i="1"/>
  <c r="D40" i="1"/>
  <c r="D41" i="1"/>
  <c r="D42" i="1"/>
  <c r="D43" i="1"/>
  <c r="D44" i="1"/>
  <c r="D45" i="1"/>
  <c r="D46" i="1"/>
  <c r="D47" i="1"/>
  <c r="D48" i="1"/>
  <c r="D6" i="2" l="1"/>
  <c r="D50" i="1"/>
</calcChain>
</file>

<file path=xl/sharedStrings.xml><?xml version="1.0" encoding="utf-8"?>
<sst xmlns="http://schemas.openxmlformats.org/spreadsheetml/2006/main" count="2970" uniqueCount="302">
  <si>
    <t>CLIENTE</t>
  </si>
  <si>
    <t>FOLIO</t>
  </si>
  <si>
    <t>PARES</t>
  </si>
  <si>
    <t>MODELO</t>
  </si>
  <si>
    <t>NUMERACIÓN</t>
  </si>
  <si>
    <t xml:space="preserve">FECHA DE PROGR. </t>
  </si>
  <si>
    <t>BORDADO</t>
  </si>
  <si>
    <t>ARTURO LOPEZ</t>
  </si>
  <si>
    <t>Programación Semana 06 AL 11 Octubre</t>
  </si>
  <si>
    <t>TUBO</t>
  </si>
  <si>
    <t>CHINELA</t>
  </si>
  <si>
    <t>MANUEL CASILLAS</t>
  </si>
  <si>
    <t>ZAPATERIA ESTRADA</t>
  </si>
  <si>
    <t>NESTOR</t>
  </si>
  <si>
    <t>MIGUEL TORREZ</t>
  </si>
  <si>
    <t>VICTOR PIÑA(COLORADO)</t>
  </si>
  <si>
    <t>PABLO APOLINAR</t>
  </si>
  <si>
    <t>MARIANA ALCON</t>
  </si>
  <si>
    <t>JUAN CARLOS BRIONES</t>
  </si>
  <si>
    <t>HECTOR SALINAS</t>
  </si>
  <si>
    <t>EL VAQUERO CHIDO</t>
  </si>
  <si>
    <t>VICTOR PIÑA (COLORADO)</t>
  </si>
  <si>
    <t>Programación Semana 29 - Sep al 04 - Oct</t>
  </si>
  <si>
    <t>Andrés</t>
  </si>
  <si>
    <t>Miguel Nueva</t>
  </si>
  <si>
    <t>Alex</t>
  </si>
  <si>
    <t>Baltazar</t>
  </si>
  <si>
    <t>Programación Semana 13 AL 18 Octubre</t>
  </si>
  <si>
    <t>Pablo Apolinar</t>
  </si>
  <si>
    <t>Nestor</t>
  </si>
  <si>
    <t>9205-R</t>
  </si>
  <si>
    <t>Miguel Torrez</t>
  </si>
  <si>
    <t>Arturo Lopez</t>
  </si>
  <si>
    <t>Casillas</t>
  </si>
  <si>
    <t>Lorenzo Rubio</t>
  </si>
  <si>
    <t>Roberto Bello</t>
  </si>
  <si>
    <t>Nazan</t>
  </si>
  <si>
    <t>Zapateria Jalisco</t>
  </si>
  <si>
    <t>Salas (Inventario)</t>
  </si>
  <si>
    <t>Bety (Salas)</t>
  </si>
  <si>
    <t>Manuel Caillas</t>
  </si>
  <si>
    <t>Programación Semana 20 AL 25 Octubre</t>
  </si>
  <si>
    <t>El Abandonado</t>
  </si>
  <si>
    <t>Renato</t>
  </si>
  <si>
    <t>Juan Manuel Ramirez</t>
  </si>
  <si>
    <t>Bodega</t>
  </si>
  <si>
    <t>Numeración</t>
  </si>
  <si>
    <t>Programación Semana 27 Oct al 01 Nov</t>
  </si>
  <si>
    <t>Programación Semana 03 al 08 Noviembre</t>
  </si>
  <si>
    <t>Barranca</t>
  </si>
  <si>
    <t>9213-A</t>
  </si>
  <si>
    <t>Andés</t>
  </si>
  <si>
    <t>Graciela de la Torre</t>
  </si>
  <si>
    <t>Enrique</t>
  </si>
  <si>
    <t>Leo Hernadez</t>
  </si>
  <si>
    <t>Programación Semana 10 al 15 Noviembre</t>
  </si>
  <si>
    <t>Dalia (Oaxaca)</t>
  </si>
  <si>
    <t>Programación Semana 17 al 22 Noviembre</t>
  </si>
  <si>
    <t>Carmelo Lopez</t>
  </si>
  <si>
    <t>Miguel</t>
  </si>
  <si>
    <t>Magaly</t>
  </si>
  <si>
    <t>Simón de la Rosa</t>
  </si>
  <si>
    <t>Programación Semana 24 al 29 Noviembre</t>
  </si>
  <si>
    <t>Reyna Osorio</t>
  </si>
  <si>
    <t>Reina Osorio</t>
  </si>
  <si>
    <t>Lady Paola</t>
  </si>
  <si>
    <t>Zapaterias D´León</t>
  </si>
  <si>
    <t>Leo Hernández</t>
  </si>
  <si>
    <t>Héctor Salinas</t>
  </si>
  <si>
    <t>Isaac</t>
  </si>
  <si>
    <t>Lady Paola (Nuevo)</t>
  </si>
  <si>
    <t xml:space="preserve">Miguel </t>
  </si>
  <si>
    <t>Hector Salinas</t>
  </si>
  <si>
    <t>Arturo López</t>
  </si>
  <si>
    <t>Carmelo López</t>
  </si>
  <si>
    <t>Netor</t>
  </si>
  <si>
    <t>Victor Piña (Colorado)</t>
  </si>
  <si>
    <t>Miguel Torres</t>
  </si>
  <si>
    <t>Isaac Mena</t>
  </si>
  <si>
    <t>Pakar</t>
  </si>
  <si>
    <t xml:space="preserve">Andrés </t>
  </si>
  <si>
    <t>Programación Semana 01 al 06 Diciembre</t>
  </si>
  <si>
    <t>Programación Semana 08 al 13 Diciembre</t>
  </si>
  <si>
    <t>Programación Semana 05 al 10 de Enero 2026</t>
  </si>
  <si>
    <t>Programación Semana 12 al 17 de Enero 2026</t>
  </si>
  <si>
    <t>Chipitin</t>
  </si>
  <si>
    <t>Mariana Alcon</t>
  </si>
  <si>
    <t>Programación Semana 02 al 07 Febrero 2026</t>
  </si>
  <si>
    <t>Zapaterias D´ León</t>
  </si>
  <si>
    <t>Victor Piña</t>
  </si>
  <si>
    <t>Adelina / Casillas</t>
  </si>
  <si>
    <t>Pablo Apoinar</t>
  </si>
  <si>
    <t>Raquel Villalobos</t>
  </si>
  <si>
    <t>Programación Semana 09 al 14 Febrero 2026</t>
  </si>
  <si>
    <t>Programación Semana 16 al 21 Febrero 2026</t>
  </si>
  <si>
    <t>Abandonado</t>
  </si>
  <si>
    <t>Silvestre Zapata</t>
  </si>
  <si>
    <t>Casillas (Suela Eskin)</t>
  </si>
  <si>
    <t>Programación Semana 23 al 28 Febrero 2026</t>
  </si>
  <si>
    <t>Nacho Salas (Eleazar)</t>
  </si>
  <si>
    <t>Nacho Salas (Luis)</t>
  </si>
  <si>
    <t>Martín Salinas</t>
  </si>
  <si>
    <t>Programación Semana 02 al 07 Marzo 2026</t>
  </si>
  <si>
    <t>Lazaro (Nacho Salas)</t>
  </si>
  <si>
    <t>Tere (Nacho Salas)</t>
  </si>
  <si>
    <t>Beto (Nacho Salas)</t>
  </si>
  <si>
    <t>Domitila (Nacho Salas)</t>
  </si>
  <si>
    <t>Cala (Nacho Salas)</t>
  </si>
  <si>
    <t>001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</si>
  <si>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</si>
  <si>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</si>
  <si>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</si>
  <si>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</si>
  <si>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</si>
  <si>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</si>
  <si>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</si>
  <si>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</si>
  <si>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</si>
  <si>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</si>
  <si>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Brayanordo</t>
  </si>
  <si>
    <t>Programación Semana 09 al 14 Marzo 2026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</si>
  <si>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</si>
  <si>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</si>
  <si>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</si>
  <si>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</si>
  <si>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</si>
  <si>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</si>
  <si>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</si>
  <si>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</si>
  <si>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</si>
  <si>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</si>
  <si>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</si>
  <si>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</si>
  <si>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028</t>
  </si>
  <si>
    <t>029</t>
  </si>
  <si>
    <t>030</t>
  </si>
  <si>
    <t>031</t>
  </si>
  <si>
    <t>036</t>
  </si>
  <si>
    <t>037</t>
  </si>
  <si>
    <t>038</t>
  </si>
  <si>
    <t>039</t>
  </si>
  <si>
    <t>044</t>
  </si>
  <si>
    <t>Estrada (Renato)</t>
  </si>
  <si>
    <t>9266-R</t>
  </si>
  <si>
    <t>FECHA DE PROG.</t>
  </si>
  <si>
    <t>9227</t>
  </si>
  <si>
    <t>Alfredo Cisneros</t>
  </si>
  <si>
    <t>9231</t>
  </si>
  <si>
    <t>9208</t>
  </si>
  <si>
    <t>9280</t>
  </si>
  <si>
    <t>9237</t>
  </si>
  <si>
    <t>Fidel Ramos</t>
  </si>
  <si>
    <t>Luis Ángel Palomares</t>
  </si>
  <si>
    <t>047</t>
  </si>
  <si>
    <t>048</t>
  </si>
  <si>
    <t>Cliente Pachuca</t>
  </si>
  <si>
    <t>049</t>
  </si>
  <si>
    <t>051</t>
  </si>
  <si>
    <t>052</t>
  </si>
  <si>
    <t>053</t>
  </si>
  <si>
    <t>054</t>
  </si>
  <si>
    <t>055</t>
  </si>
  <si>
    <t>Programación Semana 16 al 21 Marzo 2026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</si>
  <si>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</si>
  <si>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</si>
  <si>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</si>
  <si>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</si>
  <si>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</si>
  <si>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</si>
  <si>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</si>
  <si>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</si>
  <si>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</si>
  <si>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</si>
  <si>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</si>
  <si>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Bodega Nuca</t>
  </si>
  <si>
    <t>Bodega Pescado</t>
  </si>
  <si>
    <t>Bodega Pitón</t>
  </si>
  <si>
    <t>Fernando Garcia Hdez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</si>
  <si>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</si>
  <si>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</si>
  <si>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</si>
  <si>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</si>
  <si>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</si>
  <si>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</si>
  <si>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</si>
  <si>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</si>
  <si>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</si>
  <si>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</si>
  <si>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</si>
  <si>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</si>
  <si>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</si>
  <si>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</si>
  <si>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Monica Torres</t>
  </si>
  <si>
    <t>Programación Semana 23 al 28 Marzo 2026</t>
  </si>
  <si>
    <t>Marco Antonio Gonzáles</t>
  </si>
  <si>
    <t>088</t>
  </si>
  <si>
    <t>089</t>
  </si>
  <si>
    <t>090</t>
  </si>
  <si>
    <t>Alejandro Aguirre</t>
  </si>
  <si>
    <t>094</t>
  </si>
  <si>
    <t>095</t>
  </si>
  <si>
    <t>096</t>
  </si>
  <si>
    <t>097</t>
  </si>
  <si>
    <t>Víctor Manuel Mancilla Guzm+an</t>
  </si>
  <si>
    <t>098</t>
  </si>
  <si>
    <t>099</t>
  </si>
  <si>
    <t>100</t>
  </si>
  <si>
    <t>101</t>
  </si>
  <si>
    <t>102</t>
  </si>
  <si>
    <t>103</t>
  </si>
  <si>
    <t>104</t>
  </si>
  <si>
    <t>Víctor Manuel Mancilla Guzmán</t>
  </si>
  <si>
    <t>Programación Semana 06 al 11 Abril 2026</t>
  </si>
  <si>
    <t xml:space="preserve">FECHA DE PROGR </t>
  </si>
  <si>
    <t>Marco  Atonio González</t>
  </si>
  <si>
    <t>Calvillo (Renato)</t>
  </si>
  <si>
    <t>Jerez (Renato)</t>
  </si>
  <si>
    <t>Guadalupe (Renato)</t>
  </si>
  <si>
    <t>Jazmín Correa</t>
  </si>
  <si>
    <t>César Arredondo</t>
  </si>
  <si>
    <t>Mariana Alvarado</t>
  </si>
  <si>
    <t>José Remigio López L.</t>
  </si>
  <si>
    <t>José Remigio López</t>
  </si>
  <si>
    <t>FECHA DE PROG</t>
  </si>
  <si>
    <t>Programación Semana 13 al 18 Abril 2026</t>
  </si>
  <si>
    <t>Programación Semana 20 al 25 Abril 2026</t>
  </si>
  <si>
    <t xml:space="preserve">FECHA PROGR </t>
  </si>
  <si>
    <t>Programación Semana 27 Abril al 02 Mayo 2026</t>
  </si>
  <si>
    <t>Víctor Piña</t>
  </si>
  <si>
    <t>30/04/202</t>
  </si>
  <si>
    <t>Marco Antonio Glez</t>
  </si>
  <si>
    <t>Casillas (Renato)</t>
  </si>
  <si>
    <t>Cliente Daniel</t>
  </si>
  <si>
    <t>FECHA PROG</t>
  </si>
  <si>
    <t>Programación Semana 04 al 09 Mayo 2026</t>
  </si>
  <si>
    <t>Programación Semana 11 al 16 Mayo 2026</t>
  </si>
  <si>
    <t>Oscar</t>
  </si>
  <si>
    <t>Nubia</t>
  </si>
  <si>
    <t>Mora West Pakar</t>
  </si>
  <si>
    <t>Héctor  Salinas</t>
  </si>
  <si>
    <t>9219-R</t>
  </si>
  <si>
    <t>El Cachorro</t>
  </si>
  <si>
    <t>Mónica Torres</t>
  </si>
  <si>
    <t>Programación Semana 18 al 23 Mayo 2026</t>
  </si>
  <si>
    <t>Paco Aguirre</t>
  </si>
  <si>
    <t>Raúl Ramiréz (Paco Aguirre)</t>
  </si>
  <si>
    <t>FECHA PROG-</t>
  </si>
  <si>
    <t>Luis Enciso Palomares</t>
  </si>
  <si>
    <t>.</t>
  </si>
  <si>
    <t>28/05/202</t>
  </si>
  <si>
    <t>Programación Semana 25 al 30 Mayo 2026</t>
  </si>
  <si>
    <t>Programación Semana 01 al 06 Junio 2026</t>
  </si>
  <si>
    <t>Salvador Aguirre</t>
  </si>
  <si>
    <t>Ramón Miramontes</t>
  </si>
  <si>
    <t>Taurino</t>
  </si>
  <si>
    <t xml:space="preserve">Héctor Salinas </t>
  </si>
  <si>
    <t>9236-R</t>
  </si>
  <si>
    <t>Programación Semana 08 al 13 Junio 2026</t>
  </si>
  <si>
    <t>Juan Aguirre</t>
  </si>
  <si>
    <t>Manuel (Salas)</t>
  </si>
  <si>
    <t>Miguel Solorio (Casillas)</t>
  </si>
  <si>
    <t>Programación Semana 15 al 20 Junio 2026</t>
  </si>
  <si>
    <t>Julio Fuentes (Renato)</t>
  </si>
  <si>
    <t xml:space="preserve">Zapaterías D´ León </t>
  </si>
  <si>
    <t>Marco Antonio</t>
  </si>
  <si>
    <t>Rooper</t>
  </si>
  <si>
    <t>Programación Semana 22 al 27 Junio 2026</t>
  </si>
  <si>
    <t>Víctor Piña (Colorado)</t>
  </si>
  <si>
    <t>Salinas</t>
  </si>
  <si>
    <t>Jalpa</t>
  </si>
  <si>
    <t>Juchipila</t>
  </si>
  <si>
    <t>Casllas</t>
  </si>
  <si>
    <t>Fecha Prog</t>
  </si>
  <si>
    <t>2406/2026</t>
  </si>
  <si>
    <t>Programación Semana 29 Junio al 04 Julio 2026</t>
  </si>
  <si>
    <t xml:space="preserve">Lorenzo Rubio </t>
  </si>
  <si>
    <t>Estrada</t>
  </si>
  <si>
    <t>Gerardo (Salas)</t>
  </si>
  <si>
    <t>Mora West</t>
  </si>
  <si>
    <t>Programación Semana 06 al 11 Julio 2026</t>
  </si>
  <si>
    <t>Programación Semana 13 al 18 Julio 2026</t>
  </si>
  <si>
    <t>Nuevo Oeste</t>
  </si>
  <si>
    <t>LORENZO RUBIO</t>
  </si>
  <si>
    <t>CRAZY</t>
  </si>
  <si>
    <t>CAMEL/CAFÉ</t>
  </si>
  <si>
    <t>CAMEL/CAMEL</t>
  </si>
  <si>
    <t xml:space="preserve">PULL UP </t>
  </si>
  <si>
    <t>SHEDRON/AZUL</t>
  </si>
  <si>
    <t>CAFÉ/CAMEL</t>
  </si>
  <si>
    <t>PIEL</t>
  </si>
  <si>
    <t>COLOR</t>
  </si>
  <si>
    <t>TOTAL</t>
  </si>
  <si>
    <t>CACILLAS</t>
  </si>
  <si>
    <t xml:space="preserve">Programación Semana 03 AL 08 2026 </t>
  </si>
  <si>
    <t>CERA</t>
  </si>
  <si>
    <t>CAFÉ /CAFÉ</t>
  </si>
  <si>
    <t>CAFÉ/CAFÉ</t>
  </si>
  <si>
    <t>CARMELO LOPEZ</t>
  </si>
  <si>
    <t>BODEGA</t>
  </si>
  <si>
    <t>GRABADO PITON</t>
  </si>
  <si>
    <t>GRABADO NUCA</t>
  </si>
  <si>
    <t>NEGRO/NEGRO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</si>
</sst>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CDEE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opLeftCell="A13" workbookViewId="0">
      <selection activeCell="A37" sqref="A37:XFD37"/>
    </sheetView>
  </sheetViews>
  <sheetFormatPr defaultColWidth="11.42578125" defaultRowHeight="15" x14ac:dyDescent="0.25"/>
  <cols>
    <col min="1" max="1" width="23.7109375" customWidth="1"/>
    <col min="5" max="5" width="4.85546875" customWidth="1"/>
    <col min="6" max="6" width="5.140625" customWidth="1"/>
    <col min="7" max="7" width="4.7109375" customWidth="1"/>
    <col min="8" max="8" width="5.140625" customWidth="1"/>
    <col min="9" max="9" width="4.28515625" customWidth="1"/>
    <col min="10" max="10" width="5.28515625" customWidth="1"/>
    <col min="11" max="11" width="4.7109375" customWidth="1"/>
    <col min="12" max="12" width="5" customWidth="1"/>
    <col min="13" max="13" width="4.5703125" customWidth="1"/>
    <col min="14" max="14" width="5" customWidth="1"/>
    <col min="15" max="15" width="4.7109375" customWidth="1"/>
    <col min="16" max="16" width="5" customWidth="1"/>
    <col min="17" max="17" width="4.42578125" customWidth="1"/>
    <col min="18" max="18" width="5.140625" customWidth="1"/>
    <col min="19" max="19" width="17.28515625" customWidth="1"/>
    <col min="20" max="20" width="14.140625" customWidth="1"/>
    <col min="21" max="21" width="14" customWidth="1"/>
    <col min="23" max="23" width="13.7109375" customWidth="1"/>
  </cols>
  <sheetData>
    <row r="1" spans="1:24" ht="18.75" customHeight="1" x14ac:dyDescent="0.25">
      <c r="A1" s="63" t="s">
        <v>22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  <c r="V1" s="4"/>
      <c r="W1" s="4"/>
      <c r="X1" s="4"/>
    </row>
    <row r="2" spans="1:24" x14ac:dyDescent="0.25">
      <c r="A2" s="6" t="s">
        <v>0</v>
      </c>
      <c r="B2" s="6" t="s">
        <v>1</v>
      </c>
      <c r="C2" s="6" t="s">
        <v>3</v>
      </c>
      <c r="D2" s="12" t="s">
        <v>2</v>
      </c>
      <c r="E2" s="6">
        <v>15</v>
      </c>
      <c r="F2" s="6">
        <v>15.5</v>
      </c>
      <c r="G2" s="6">
        <v>16</v>
      </c>
      <c r="H2" s="6">
        <v>16.5</v>
      </c>
      <c r="I2" s="6">
        <v>17</v>
      </c>
      <c r="J2" s="6">
        <v>17.5</v>
      </c>
      <c r="K2" s="6">
        <v>18</v>
      </c>
      <c r="L2" s="6">
        <v>18.5</v>
      </c>
      <c r="M2" s="6">
        <v>19</v>
      </c>
      <c r="N2" s="6">
        <v>19.5</v>
      </c>
      <c r="O2" s="6">
        <v>20</v>
      </c>
      <c r="P2" s="6">
        <v>20.5</v>
      </c>
      <c r="Q2" s="6">
        <v>21</v>
      </c>
      <c r="R2" s="6">
        <v>21.5</v>
      </c>
      <c r="S2" s="65"/>
      <c r="T2" s="6" t="s">
        <v>9</v>
      </c>
      <c r="U2" s="6" t="s">
        <v>10</v>
      </c>
      <c r="V2" s="5"/>
      <c r="W2" s="5"/>
      <c r="X2" s="5"/>
    </row>
    <row r="3" spans="1:24" x14ac:dyDescent="0.25">
      <c r="A3" s="7" t="s">
        <v>7</v>
      </c>
      <c r="B3" s="2">
        <v>302</v>
      </c>
      <c r="C3" s="2">
        <v>9228</v>
      </c>
      <c r="D3" s="17">
        <f t="shared" ref="D3:D49" si="0">SUM(E3:R3)</f>
        <v>28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2</v>
      </c>
      <c r="R3" s="2">
        <v>2</v>
      </c>
      <c r="S3" s="3">
        <v>45929</v>
      </c>
      <c r="T3" s="2" t="s">
        <v>23</v>
      </c>
      <c r="U3" s="2"/>
      <c r="V3" s="4"/>
      <c r="W3" s="4"/>
      <c r="X3" s="4"/>
    </row>
    <row r="4" spans="1:24" x14ac:dyDescent="0.25">
      <c r="A4" s="7" t="s">
        <v>7</v>
      </c>
      <c r="B4" s="2">
        <v>303</v>
      </c>
      <c r="C4" s="2">
        <v>9218</v>
      </c>
      <c r="D4" s="17">
        <f t="shared" si="0"/>
        <v>28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2</v>
      </c>
      <c r="M4" s="2">
        <v>2</v>
      </c>
      <c r="N4" s="2">
        <v>2</v>
      </c>
      <c r="O4" s="2">
        <v>2</v>
      </c>
      <c r="P4" s="2">
        <v>2</v>
      </c>
      <c r="Q4" s="2">
        <v>2</v>
      </c>
      <c r="R4" s="2">
        <v>2</v>
      </c>
      <c r="S4" s="3">
        <v>45929</v>
      </c>
      <c r="T4" s="2" t="s">
        <v>23</v>
      </c>
      <c r="U4" s="2"/>
      <c r="V4" s="4"/>
      <c r="W4" s="4"/>
      <c r="X4" s="4"/>
    </row>
    <row r="5" spans="1:24" x14ac:dyDescent="0.25">
      <c r="A5" s="7" t="s">
        <v>7</v>
      </c>
      <c r="B5" s="2">
        <v>304</v>
      </c>
      <c r="C5" s="2">
        <v>9203</v>
      </c>
      <c r="D5" s="17">
        <f t="shared" si="0"/>
        <v>28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3">
        <v>45929</v>
      </c>
      <c r="T5" s="2" t="s">
        <v>25</v>
      </c>
      <c r="U5" s="2" t="s">
        <v>23</v>
      </c>
      <c r="V5" s="4"/>
      <c r="W5" s="4"/>
      <c r="X5" s="4"/>
    </row>
    <row r="6" spans="1:24" x14ac:dyDescent="0.25">
      <c r="A6" s="7" t="s">
        <v>7</v>
      </c>
      <c r="B6" s="2">
        <v>305</v>
      </c>
      <c r="C6" s="2">
        <v>9205</v>
      </c>
      <c r="D6" s="17">
        <f t="shared" si="0"/>
        <v>28</v>
      </c>
      <c r="E6" s="2">
        <v>2</v>
      </c>
      <c r="F6" s="2">
        <v>2</v>
      </c>
      <c r="G6" s="2">
        <v>2</v>
      </c>
      <c r="H6" s="2">
        <v>2</v>
      </c>
      <c r="I6" s="2">
        <v>2</v>
      </c>
      <c r="J6" s="2">
        <v>2</v>
      </c>
      <c r="K6" s="2">
        <v>2</v>
      </c>
      <c r="L6" s="2">
        <v>2</v>
      </c>
      <c r="M6" s="2">
        <v>2</v>
      </c>
      <c r="N6" s="2">
        <v>2</v>
      </c>
      <c r="O6" s="2">
        <v>2</v>
      </c>
      <c r="P6" s="2">
        <v>2</v>
      </c>
      <c r="Q6" s="2">
        <v>2</v>
      </c>
      <c r="R6" s="2">
        <v>2</v>
      </c>
      <c r="S6" s="3">
        <v>45929</v>
      </c>
      <c r="T6" s="8" t="s">
        <v>24</v>
      </c>
      <c r="U6" s="2" t="s">
        <v>23</v>
      </c>
      <c r="V6" s="4"/>
      <c r="W6" s="4"/>
      <c r="X6" s="4"/>
    </row>
    <row r="7" spans="1:24" x14ac:dyDescent="0.25">
      <c r="A7" s="7" t="s">
        <v>11</v>
      </c>
      <c r="B7" s="2">
        <v>306</v>
      </c>
      <c r="C7" s="2">
        <v>9201</v>
      </c>
      <c r="D7" s="17">
        <f t="shared" si="0"/>
        <v>24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s="2">
        <v>1</v>
      </c>
      <c r="M7" s="2">
        <v>2</v>
      </c>
      <c r="N7" s="2">
        <v>1</v>
      </c>
      <c r="O7" s="2">
        <v>2</v>
      </c>
      <c r="P7" s="2">
        <v>1</v>
      </c>
      <c r="Q7" s="2">
        <v>2</v>
      </c>
      <c r="R7" s="2">
        <v>1</v>
      </c>
      <c r="S7" s="3">
        <v>45929</v>
      </c>
      <c r="T7" s="2" t="s">
        <v>26</v>
      </c>
      <c r="U7" s="2" t="s">
        <v>23</v>
      </c>
      <c r="V7" s="4"/>
      <c r="W7" s="4"/>
      <c r="X7" s="4"/>
    </row>
    <row r="8" spans="1:24" x14ac:dyDescent="0.25">
      <c r="A8" s="7" t="s">
        <v>11</v>
      </c>
      <c r="B8" s="2">
        <v>307</v>
      </c>
      <c r="C8" s="2">
        <v>9232</v>
      </c>
      <c r="D8" s="17">
        <f t="shared" si="0"/>
        <v>60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6</v>
      </c>
      <c r="L8" s="2">
        <v>3</v>
      </c>
      <c r="M8" s="2">
        <v>6</v>
      </c>
      <c r="N8" s="2">
        <v>3</v>
      </c>
      <c r="O8" s="2">
        <v>6</v>
      </c>
      <c r="P8" s="2">
        <v>3</v>
      </c>
      <c r="Q8" s="2">
        <v>6</v>
      </c>
      <c r="R8" s="2">
        <v>3</v>
      </c>
      <c r="S8" s="3">
        <v>45929</v>
      </c>
      <c r="T8" s="2" t="s">
        <v>25</v>
      </c>
      <c r="U8" s="2" t="s">
        <v>23</v>
      </c>
      <c r="V8" s="4"/>
      <c r="W8" s="4"/>
      <c r="X8" s="4"/>
    </row>
    <row r="9" spans="1:24" x14ac:dyDescent="0.25">
      <c r="A9" s="7" t="s">
        <v>11</v>
      </c>
      <c r="B9" s="2">
        <v>308</v>
      </c>
      <c r="C9" s="2">
        <v>9201</v>
      </c>
      <c r="D9" s="17">
        <f t="shared" si="0"/>
        <v>60</v>
      </c>
      <c r="E9" s="2">
        <v>4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6</v>
      </c>
      <c r="L9" s="2">
        <v>3</v>
      </c>
      <c r="M9" s="2">
        <v>6</v>
      </c>
      <c r="N9" s="2">
        <v>3</v>
      </c>
      <c r="O9" s="2">
        <v>6</v>
      </c>
      <c r="P9" s="2">
        <v>3</v>
      </c>
      <c r="Q9" s="2">
        <v>6</v>
      </c>
      <c r="R9" s="2">
        <v>3</v>
      </c>
      <c r="S9" s="3">
        <v>45929</v>
      </c>
      <c r="T9" s="2" t="s">
        <v>23</v>
      </c>
      <c r="U9" s="2" t="s">
        <v>23</v>
      </c>
      <c r="V9" s="4"/>
      <c r="W9" s="4"/>
      <c r="X9" s="4"/>
    </row>
    <row r="10" spans="1:24" x14ac:dyDescent="0.25">
      <c r="A10" s="7" t="s">
        <v>11</v>
      </c>
      <c r="B10" s="2">
        <v>309</v>
      </c>
      <c r="C10" s="2">
        <v>9202</v>
      </c>
      <c r="D10" s="17">
        <f t="shared" si="0"/>
        <v>60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6</v>
      </c>
      <c r="L10" s="2">
        <v>3</v>
      </c>
      <c r="M10" s="2">
        <v>6</v>
      </c>
      <c r="N10" s="2">
        <v>3</v>
      </c>
      <c r="O10" s="2">
        <v>6</v>
      </c>
      <c r="P10" s="2">
        <v>3</v>
      </c>
      <c r="Q10" s="2">
        <v>6</v>
      </c>
      <c r="R10" s="2">
        <v>3</v>
      </c>
      <c r="S10" s="3">
        <v>45929</v>
      </c>
      <c r="T10" s="2" t="s">
        <v>23</v>
      </c>
      <c r="U10" s="2" t="s">
        <v>23</v>
      </c>
      <c r="V10" s="4"/>
      <c r="W10" s="4"/>
      <c r="X10" s="4"/>
    </row>
    <row r="11" spans="1:24" x14ac:dyDescent="0.25">
      <c r="A11" s="7" t="s">
        <v>11</v>
      </c>
      <c r="B11" s="2">
        <v>310</v>
      </c>
      <c r="C11" s="2">
        <v>9220</v>
      </c>
      <c r="D11" s="17">
        <f t="shared" si="0"/>
        <v>60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6</v>
      </c>
      <c r="L11" s="2">
        <v>3</v>
      </c>
      <c r="M11" s="2">
        <v>6</v>
      </c>
      <c r="N11" s="2">
        <v>3</v>
      </c>
      <c r="O11" s="2">
        <v>6</v>
      </c>
      <c r="P11" s="2">
        <v>3</v>
      </c>
      <c r="Q11" s="2">
        <v>6</v>
      </c>
      <c r="R11" s="2">
        <v>3</v>
      </c>
      <c r="S11" s="3">
        <v>45929</v>
      </c>
      <c r="T11" s="2" t="s">
        <v>23</v>
      </c>
      <c r="U11" s="2" t="s">
        <v>23</v>
      </c>
      <c r="V11" s="4"/>
      <c r="W11" s="4"/>
      <c r="X11" s="4"/>
    </row>
    <row r="12" spans="1:24" x14ac:dyDescent="0.25">
      <c r="A12" s="7" t="s">
        <v>11</v>
      </c>
      <c r="B12" s="2">
        <v>311</v>
      </c>
      <c r="C12" s="2">
        <v>9220</v>
      </c>
      <c r="D12" s="17">
        <f t="shared" ref="D12:D17" si="1">SUM(E12:R12)</f>
        <v>60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  <c r="J12" s="2">
        <v>4</v>
      </c>
      <c r="K12" s="2">
        <v>6</v>
      </c>
      <c r="L12" s="2">
        <v>3</v>
      </c>
      <c r="M12" s="2">
        <v>6</v>
      </c>
      <c r="N12" s="2">
        <v>3</v>
      </c>
      <c r="O12" s="2">
        <v>6</v>
      </c>
      <c r="P12" s="2">
        <v>3</v>
      </c>
      <c r="Q12" s="2">
        <v>6</v>
      </c>
      <c r="R12" s="2">
        <v>3</v>
      </c>
      <c r="S12" s="3">
        <v>45929</v>
      </c>
      <c r="T12" s="8" t="s">
        <v>23</v>
      </c>
      <c r="U12" s="2" t="s">
        <v>23</v>
      </c>
      <c r="V12" s="4"/>
      <c r="W12" s="4"/>
      <c r="X12" s="4"/>
    </row>
    <row r="13" spans="1:24" x14ac:dyDescent="0.25">
      <c r="A13" s="7" t="s">
        <v>20</v>
      </c>
      <c r="B13" s="2">
        <v>312</v>
      </c>
      <c r="C13" s="2">
        <v>9213</v>
      </c>
      <c r="D13" s="17">
        <f t="shared" si="1"/>
        <v>28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2">
        <v>2</v>
      </c>
      <c r="M13" s="2">
        <v>2</v>
      </c>
      <c r="N13" s="2">
        <v>2</v>
      </c>
      <c r="O13" s="2">
        <v>2</v>
      </c>
      <c r="P13" s="2">
        <v>2</v>
      </c>
      <c r="Q13" s="2">
        <v>2</v>
      </c>
      <c r="R13" s="2">
        <v>2</v>
      </c>
      <c r="S13" s="3">
        <v>45929</v>
      </c>
      <c r="T13" s="2" t="s">
        <v>25</v>
      </c>
      <c r="U13" s="2"/>
      <c r="V13" s="4"/>
      <c r="W13" s="4"/>
      <c r="X13" s="4"/>
    </row>
    <row r="14" spans="1:24" x14ac:dyDescent="0.25">
      <c r="A14" s="7" t="s">
        <v>20</v>
      </c>
      <c r="B14" s="2">
        <v>313</v>
      </c>
      <c r="C14" s="2">
        <v>9245</v>
      </c>
      <c r="D14" s="17">
        <f t="shared" si="1"/>
        <v>28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2</v>
      </c>
      <c r="L14" s="2">
        <v>2</v>
      </c>
      <c r="M14" s="2">
        <v>2</v>
      </c>
      <c r="N14" s="2">
        <v>2</v>
      </c>
      <c r="O14" s="2">
        <v>2</v>
      </c>
      <c r="P14" s="2">
        <v>2</v>
      </c>
      <c r="Q14" s="2">
        <v>2</v>
      </c>
      <c r="R14" s="2">
        <v>2</v>
      </c>
      <c r="S14" s="3">
        <v>45929</v>
      </c>
      <c r="T14" s="2" t="s">
        <v>25</v>
      </c>
      <c r="U14" s="2"/>
      <c r="V14" s="4"/>
      <c r="W14" s="4"/>
      <c r="X14" s="4"/>
    </row>
    <row r="15" spans="1:24" x14ac:dyDescent="0.25">
      <c r="A15" s="7" t="s">
        <v>20</v>
      </c>
      <c r="B15" s="2">
        <v>314</v>
      </c>
      <c r="C15" s="2">
        <v>9236</v>
      </c>
      <c r="D15" s="17">
        <f t="shared" si="1"/>
        <v>28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2</v>
      </c>
      <c r="L15" s="2">
        <v>2</v>
      </c>
      <c r="M15" s="2">
        <v>2</v>
      </c>
      <c r="N15" s="2">
        <v>2</v>
      </c>
      <c r="O15" s="2">
        <v>2</v>
      </c>
      <c r="P15" s="2">
        <v>2</v>
      </c>
      <c r="Q15" s="2">
        <v>2</v>
      </c>
      <c r="R15" s="2">
        <v>2</v>
      </c>
      <c r="S15" s="3">
        <v>45929</v>
      </c>
      <c r="T15" s="2" t="s">
        <v>25</v>
      </c>
      <c r="U15" s="2"/>
      <c r="V15" s="4"/>
      <c r="W15" s="4"/>
      <c r="X15" s="4"/>
    </row>
    <row r="16" spans="1:24" x14ac:dyDescent="0.25">
      <c r="A16" s="7" t="s">
        <v>20</v>
      </c>
      <c r="B16" s="2">
        <v>315</v>
      </c>
      <c r="C16" s="2">
        <v>9242</v>
      </c>
      <c r="D16" s="17">
        <f t="shared" si="1"/>
        <v>28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  <c r="K16" s="2">
        <v>2</v>
      </c>
      <c r="L16" s="2">
        <v>2</v>
      </c>
      <c r="M16" s="2">
        <v>2</v>
      </c>
      <c r="N16" s="2">
        <v>2</v>
      </c>
      <c r="O16" s="2">
        <v>2</v>
      </c>
      <c r="P16" s="2">
        <v>2</v>
      </c>
      <c r="Q16" s="2">
        <v>2</v>
      </c>
      <c r="R16" s="2">
        <v>2</v>
      </c>
      <c r="S16" s="3">
        <v>45929</v>
      </c>
      <c r="T16" s="2"/>
      <c r="U16" s="2" t="s">
        <v>25</v>
      </c>
      <c r="V16" s="4"/>
      <c r="W16" s="4"/>
      <c r="X16" s="4"/>
    </row>
    <row r="17" spans="1:24" x14ac:dyDescent="0.25">
      <c r="A17" s="7" t="s">
        <v>20</v>
      </c>
      <c r="B17" s="2">
        <v>316</v>
      </c>
      <c r="C17" s="2">
        <v>9218</v>
      </c>
      <c r="D17" s="17">
        <f t="shared" si="1"/>
        <v>28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2</v>
      </c>
      <c r="M17" s="2">
        <v>2</v>
      </c>
      <c r="N17" s="2">
        <v>2</v>
      </c>
      <c r="O17" s="2">
        <v>2</v>
      </c>
      <c r="P17" s="2">
        <v>2</v>
      </c>
      <c r="Q17" s="2">
        <v>2</v>
      </c>
      <c r="R17" s="2">
        <v>2</v>
      </c>
      <c r="S17" s="3">
        <v>45929</v>
      </c>
      <c r="T17" s="2"/>
      <c r="U17" s="2"/>
      <c r="V17" s="4"/>
      <c r="W17" s="4"/>
      <c r="X17" s="4"/>
    </row>
    <row r="18" spans="1:24" x14ac:dyDescent="0.25">
      <c r="A18" s="7" t="s">
        <v>12</v>
      </c>
      <c r="B18" s="2">
        <v>317</v>
      </c>
      <c r="C18" s="2">
        <v>9231</v>
      </c>
      <c r="D18" s="17">
        <f t="shared" si="0"/>
        <v>60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6</v>
      </c>
      <c r="L18" s="2">
        <v>3</v>
      </c>
      <c r="M18" s="2">
        <v>6</v>
      </c>
      <c r="N18" s="2">
        <v>3</v>
      </c>
      <c r="O18" s="2">
        <v>6</v>
      </c>
      <c r="P18" s="2">
        <v>3</v>
      </c>
      <c r="Q18" s="2">
        <v>6</v>
      </c>
      <c r="R18" s="2">
        <v>3</v>
      </c>
      <c r="S18" s="3">
        <v>45929</v>
      </c>
      <c r="T18" s="2"/>
      <c r="U18" s="2" t="s">
        <v>23</v>
      </c>
      <c r="V18" s="4"/>
      <c r="W18" s="4"/>
      <c r="X18" s="4"/>
    </row>
    <row r="19" spans="1:24" x14ac:dyDescent="0.25">
      <c r="A19" s="7" t="s">
        <v>12</v>
      </c>
      <c r="B19" s="2">
        <v>318</v>
      </c>
      <c r="C19" s="2">
        <v>9231</v>
      </c>
      <c r="D19" s="17">
        <f t="shared" si="0"/>
        <v>60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6</v>
      </c>
      <c r="L19" s="2">
        <v>3</v>
      </c>
      <c r="M19" s="2">
        <v>6</v>
      </c>
      <c r="N19" s="2">
        <v>3</v>
      </c>
      <c r="O19" s="2">
        <v>6</v>
      </c>
      <c r="P19" s="2">
        <v>3</v>
      </c>
      <c r="Q19" s="2">
        <v>6</v>
      </c>
      <c r="R19" s="2">
        <v>3</v>
      </c>
      <c r="S19" s="3">
        <v>45929</v>
      </c>
      <c r="T19" s="2" t="s">
        <v>25</v>
      </c>
      <c r="U19" s="2" t="s">
        <v>23</v>
      </c>
      <c r="V19" s="4"/>
      <c r="W19" s="4"/>
      <c r="X19" s="4"/>
    </row>
    <row r="20" spans="1:24" x14ac:dyDescent="0.25">
      <c r="A20" s="7" t="s">
        <v>13</v>
      </c>
      <c r="B20" s="2">
        <v>319</v>
      </c>
      <c r="C20" s="2">
        <v>9213</v>
      </c>
      <c r="D20" s="17">
        <f t="shared" si="0"/>
        <v>24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1</v>
      </c>
      <c r="M20" s="2">
        <v>2</v>
      </c>
      <c r="N20" s="2">
        <v>1</v>
      </c>
      <c r="O20" s="2">
        <v>2</v>
      </c>
      <c r="P20" s="2">
        <v>1</v>
      </c>
      <c r="Q20" s="2">
        <v>2</v>
      </c>
      <c r="R20" s="2">
        <v>1</v>
      </c>
      <c r="S20" s="3">
        <v>45929</v>
      </c>
      <c r="T20" s="2"/>
      <c r="U20" s="2"/>
      <c r="V20" s="4"/>
      <c r="W20" s="4"/>
      <c r="X20" s="4"/>
    </row>
    <row r="21" spans="1:24" x14ac:dyDescent="0.25">
      <c r="A21" s="7" t="s">
        <v>13</v>
      </c>
      <c r="B21" s="2">
        <v>320</v>
      </c>
      <c r="C21" s="2">
        <v>9213</v>
      </c>
      <c r="D21" s="17">
        <f t="shared" si="0"/>
        <v>24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1</v>
      </c>
      <c r="M21" s="2">
        <v>2</v>
      </c>
      <c r="N21" s="2">
        <v>1</v>
      </c>
      <c r="O21" s="2">
        <v>2</v>
      </c>
      <c r="P21" s="2">
        <v>1</v>
      </c>
      <c r="Q21" s="2">
        <v>2</v>
      </c>
      <c r="R21" s="2">
        <v>1</v>
      </c>
      <c r="S21" s="3">
        <v>45929</v>
      </c>
      <c r="T21" s="2"/>
      <c r="U21" s="2"/>
      <c r="V21" s="4"/>
      <c r="W21" s="4"/>
      <c r="X21" s="4"/>
    </row>
    <row r="22" spans="1:24" x14ac:dyDescent="0.25">
      <c r="A22" s="7" t="s">
        <v>13</v>
      </c>
      <c r="B22" s="2">
        <v>321</v>
      </c>
      <c r="C22" s="2">
        <v>9213</v>
      </c>
      <c r="D22" s="17">
        <f t="shared" si="0"/>
        <v>24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1</v>
      </c>
      <c r="M22" s="2">
        <v>2</v>
      </c>
      <c r="N22" s="2">
        <v>1</v>
      </c>
      <c r="O22" s="2">
        <v>2</v>
      </c>
      <c r="P22" s="2">
        <v>1</v>
      </c>
      <c r="Q22" s="2">
        <v>2</v>
      </c>
      <c r="R22" s="2">
        <v>1</v>
      </c>
      <c r="S22" s="3">
        <v>45929</v>
      </c>
      <c r="T22" s="2" t="s">
        <v>23</v>
      </c>
      <c r="U22" s="2"/>
      <c r="V22" s="4"/>
      <c r="W22" s="4"/>
      <c r="X22" s="4"/>
    </row>
    <row r="23" spans="1:24" x14ac:dyDescent="0.25">
      <c r="A23" s="7" t="s">
        <v>13</v>
      </c>
      <c r="B23" s="2">
        <v>322</v>
      </c>
      <c r="C23" s="2">
        <v>9213</v>
      </c>
      <c r="D23" s="17">
        <f t="shared" si="0"/>
        <v>24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1</v>
      </c>
      <c r="M23" s="2">
        <v>2</v>
      </c>
      <c r="N23" s="2">
        <v>1</v>
      </c>
      <c r="O23" s="2">
        <v>2</v>
      </c>
      <c r="P23" s="2">
        <v>1</v>
      </c>
      <c r="Q23" s="2">
        <v>2</v>
      </c>
      <c r="R23" s="2">
        <v>1</v>
      </c>
      <c r="S23" s="3">
        <v>45929</v>
      </c>
      <c r="T23" s="2" t="s">
        <v>25</v>
      </c>
      <c r="U23" s="2"/>
      <c r="V23" s="4"/>
      <c r="W23" s="4"/>
      <c r="X23" s="4"/>
    </row>
    <row r="24" spans="1:24" x14ac:dyDescent="0.25">
      <c r="A24" s="7" t="s">
        <v>13</v>
      </c>
      <c r="B24" s="2">
        <v>323</v>
      </c>
      <c r="C24" s="2">
        <v>9205</v>
      </c>
      <c r="D24" s="17">
        <f t="shared" si="0"/>
        <v>24</v>
      </c>
      <c r="E24" s="2">
        <v>2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>
        <v>2</v>
      </c>
      <c r="L24" s="2">
        <v>1</v>
      </c>
      <c r="M24" s="2">
        <v>2</v>
      </c>
      <c r="N24" s="2">
        <v>1</v>
      </c>
      <c r="O24" s="2">
        <v>2</v>
      </c>
      <c r="P24" s="2">
        <v>1</v>
      </c>
      <c r="Q24" s="2">
        <v>2</v>
      </c>
      <c r="R24" s="2">
        <v>1</v>
      </c>
      <c r="S24" s="3">
        <v>45929</v>
      </c>
      <c r="T24" s="2" t="s">
        <v>24</v>
      </c>
      <c r="U24" s="2" t="s">
        <v>23</v>
      </c>
      <c r="V24" s="4"/>
      <c r="W24" s="4"/>
      <c r="X24" s="4"/>
    </row>
    <row r="25" spans="1:24" x14ac:dyDescent="0.25">
      <c r="A25" s="7" t="s">
        <v>13</v>
      </c>
      <c r="B25" s="2">
        <v>324</v>
      </c>
      <c r="C25" s="2">
        <v>9214</v>
      </c>
      <c r="D25" s="17">
        <f t="shared" si="0"/>
        <v>24</v>
      </c>
      <c r="E25" s="2">
        <v>2</v>
      </c>
      <c r="F25" s="2">
        <v>2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1</v>
      </c>
      <c r="M25" s="2">
        <v>2</v>
      </c>
      <c r="N25" s="2">
        <v>1</v>
      </c>
      <c r="O25" s="2">
        <v>2</v>
      </c>
      <c r="P25" s="2">
        <v>1</v>
      </c>
      <c r="Q25" s="2">
        <v>2</v>
      </c>
      <c r="R25" s="2">
        <v>1</v>
      </c>
      <c r="S25" s="3">
        <v>45929</v>
      </c>
      <c r="T25" s="2" t="s">
        <v>23</v>
      </c>
      <c r="U25" s="2" t="s">
        <v>23</v>
      </c>
      <c r="V25" s="4"/>
      <c r="W25" s="4"/>
      <c r="X25" s="4"/>
    </row>
    <row r="26" spans="1:24" x14ac:dyDescent="0.25">
      <c r="A26" s="7" t="s">
        <v>13</v>
      </c>
      <c r="B26" s="2">
        <v>325</v>
      </c>
      <c r="C26" s="2">
        <v>9220</v>
      </c>
      <c r="D26" s="17">
        <f t="shared" si="0"/>
        <v>24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1</v>
      </c>
      <c r="M26" s="2">
        <v>2</v>
      </c>
      <c r="N26" s="2">
        <v>1</v>
      </c>
      <c r="O26" s="2">
        <v>2</v>
      </c>
      <c r="P26" s="2">
        <v>1</v>
      </c>
      <c r="Q26" s="2">
        <v>2</v>
      </c>
      <c r="R26" s="2">
        <v>1</v>
      </c>
      <c r="S26" s="3">
        <v>45929</v>
      </c>
      <c r="T26" s="2" t="s">
        <v>25</v>
      </c>
      <c r="U26" s="2" t="s">
        <v>23</v>
      </c>
      <c r="V26" s="4"/>
      <c r="W26" s="4"/>
      <c r="X26" s="4"/>
    </row>
    <row r="27" spans="1:24" x14ac:dyDescent="0.25">
      <c r="A27" s="7" t="s">
        <v>13</v>
      </c>
      <c r="B27" s="2">
        <v>326</v>
      </c>
      <c r="C27" s="2">
        <v>9213</v>
      </c>
      <c r="D27" s="17">
        <f t="shared" si="0"/>
        <v>24</v>
      </c>
      <c r="E27" s="2">
        <v>2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1</v>
      </c>
      <c r="M27" s="2">
        <v>2</v>
      </c>
      <c r="N27" s="2">
        <v>1</v>
      </c>
      <c r="O27" s="2">
        <v>2</v>
      </c>
      <c r="P27" s="2">
        <v>1</v>
      </c>
      <c r="Q27" s="2">
        <v>2</v>
      </c>
      <c r="R27" s="2">
        <v>1</v>
      </c>
      <c r="S27" s="3">
        <v>45929</v>
      </c>
      <c r="T27" s="2" t="s">
        <v>26</v>
      </c>
      <c r="U27" s="2" t="s">
        <v>23</v>
      </c>
      <c r="V27" s="4"/>
      <c r="W27" s="4"/>
      <c r="X27" s="4"/>
    </row>
    <row r="28" spans="1:24" x14ac:dyDescent="0.25">
      <c r="A28" s="7" t="s">
        <v>14</v>
      </c>
      <c r="B28" s="2">
        <v>327</v>
      </c>
      <c r="C28" s="2">
        <v>9225</v>
      </c>
      <c r="D28" s="17">
        <f t="shared" si="0"/>
        <v>24</v>
      </c>
      <c r="E28" s="2">
        <v>2</v>
      </c>
      <c r="F28" s="2">
        <v>2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2">
        <v>1</v>
      </c>
      <c r="M28" s="2">
        <v>2</v>
      </c>
      <c r="N28" s="2">
        <v>1</v>
      </c>
      <c r="O28" s="2">
        <v>2</v>
      </c>
      <c r="P28" s="2">
        <v>1</v>
      </c>
      <c r="Q28" s="2">
        <v>2</v>
      </c>
      <c r="R28" s="2">
        <v>1</v>
      </c>
      <c r="S28" s="3">
        <v>45929</v>
      </c>
      <c r="T28" s="9" t="s">
        <v>23</v>
      </c>
      <c r="U28" s="2" t="s">
        <v>23</v>
      </c>
    </row>
    <row r="29" spans="1:24" x14ac:dyDescent="0.25">
      <c r="A29" s="7" t="s">
        <v>14</v>
      </c>
      <c r="B29" s="2">
        <v>328</v>
      </c>
      <c r="C29" s="2">
        <v>9205</v>
      </c>
      <c r="D29" s="17">
        <f t="shared" si="0"/>
        <v>24</v>
      </c>
      <c r="E29" s="2">
        <v>2</v>
      </c>
      <c r="F29" s="2">
        <v>2</v>
      </c>
      <c r="G29" s="2">
        <v>2</v>
      </c>
      <c r="H29" s="2">
        <v>2</v>
      </c>
      <c r="I29" s="2">
        <v>2</v>
      </c>
      <c r="J29" s="2">
        <v>2</v>
      </c>
      <c r="K29" s="2">
        <v>2</v>
      </c>
      <c r="L29" s="2">
        <v>1</v>
      </c>
      <c r="M29" s="2">
        <v>2</v>
      </c>
      <c r="N29" s="2">
        <v>1</v>
      </c>
      <c r="O29" s="2">
        <v>2</v>
      </c>
      <c r="P29" s="2">
        <v>1</v>
      </c>
      <c r="Q29" s="2">
        <v>2</v>
      </c>
      <c r="R29" s="2">
        <v>1</v>
      </c>
      <c r="S29" s="3">
        <v>45929</v>
      </c>
      <c r="T29" s="2" t="s">
        <v>23</v>
      </c>
      <c r="U29" s="2" t="s">
        <v>23</v>
      </c>
    </row>
    <row r="30" spans="1:24" x14ac:dyDescent="0.25">
      <c r="A30" s="7" t="s">
        <v>15</v>
      </c>
      <c r="B30" s="2">
        <v>329</v>
      </c>
      <c r="C30" s="2">
        <v>9228</v>
      </c>
      <c r="D30" s="17">
        <f t="shared" si="0"/>
        <v>72</v>
      </c>
      <c r="E30" s="2">
        <v>6</v>
      </c>
      <c r="F30" s="2">
        <v>6</v>
      </c>
      <c r="G30" s="2">
        <v>6</v>
      </c>
      <c r="H30" s="2">
        <v>6</v>
      </c>
      <c r="I30" s="2">
        <v>6</v>
      </c>
      <c r="J30" s="2">
        <v>6</v>
      </c>
      <c r="K30" s="2">
        <v>6</v>
      </c>
      <c r="L30" s="2">
        <v>3</v>
      </c>
      <c r="M30" s="2">
        <v>6</v>
      </c>
      <c r="N30" s="2">
        <v>3</v>
      </c>
      <c r="O30" s="2">
        <v>6</v>
      </c>
      <c r="P30" s="2">
        <v>3</v>
      </c>
      <c r="Q30" s="2">
        <v>6</v>
      </c>
      <c r="R30" s="2">
        <v>3</v>
      </c>
      <c r="S30" s="3">
        <v>45929</v>
      </c>
      <c r="T30" s="2"/>
      <c r="U30" s="2" t="s">
        <v>23</v>
      </c>
    </row>
    <row r="31" spans="1:24" x14ac:dyDescent="0.25">
      <c r="A31" s="7" t="s">
        <v>15</v>
      </c>
      <c r="B31" s="2">
        <v>330</v>
      </c>
      <c r="C31" s="2">
        <v>9201</v>
      </c>
      <c r="D31" s="17">
        <f t="shared" si="0"/>
        <v>180</v>
      </c>
      <c r="E31" s="2">
        <v>10</v>
      </c>
      <c r="F31" s="2">
        <v>10</v>
      </c>
      <c r="G31" s="2">
        <v>10</v>
      </c>
      <c r="H31" s="2">
        <v>10</v>
      </c>
      <c r="I31" s="2">
        <v>10</v>
      </c>
      <c r="J31" s="2">
        <v>10</v>
      </c>
      <c r="K31" s="2">
        <v>20</v>
      </c>
      <c r="L31" s="2">
        <v>10</v>
      </c>
      <c r="M31" s="2">
        <v>20</v>
      </c>
      <c r="N31" s="2">
        <v>10</v>
      </c>
      <c r="O31" s="2">
        <v>20</v>
      </c>
      <c r="P31" s="2">
        <v>10</v>
      </c>
      <c r="Q31" s="2">
        <v>20</v>
      </c>
      <c r="R31" s="2">
        <v>10</v>
      </c>
      <c r="S31" s="3">
        <v>45929</v>
      </c>
      <c r="T31" s="2"/>
      <c r="U31" s="2"/>
    </row>
    <row r="32" spans="1:24" x14ac:dyDescent="0.25">
      <c r="A32" s="7" t="s">
        <v>16</v>
      </c>
      <c r="B32" s="2">
        <v>331</v>
      </c>
      <c r="C32" s="2">
        <v>9218</v>
      </c>
      <c r="D32" s="17">
        <f t="shared" si="0"/>
        <v>24</v>
      </c>
      <c r="E32" s="2">
        <v>2</v>
      </c>
      <c r="F32" s="2">
        <v>2</v>
      </c>
      <c r="G32" s="2">
        <v>2</v>
      </c>
      <c r="H32" s="2">
        <v>2</v>
      </c>
      <c r="I32" s="2">
        <v>2</v>
      </c>
      <c r="J32" s="2">
        <v>2</v>
      </c>
      <c r="K32" s="2">
        <v>2</v>
      </c>
      <c r="L32" s="2">
        <v>1</v>
      </c>
      <c r="M32" s="2">
        <v>2</v>
      </c>
      <c r="N32" s="2">
        <v>1</v>
      </c>
      <c r="O32" s="2">
        <v>2</v>
      </c>
      <c r="P32" s="2">
        <v>1</v>
      </c>
      <c r="Q32" s="2">
        <v>2</v>
      </c>
      <c r="R32" s="2">
        <v>1</v>
      </c>
      <c r="S32" s="3">
        <v>45929</v>
      </c>
      <c r="T32" s="2"/>
      <c r="U32" s="2" t="s">
        <v>23</v>
      </c>
    </row>
    <row r="33" spans="1:21" x14ac:dyDescent="0.25">
      <c r="A33" s="7" t="s">
        <v>16</v>
      </c>
      <c r="B33" s="2">
        <v>332</v>
      </c>
      <c r="C33" s="2">
        <v>9004</v>
      </c>
      <c r="D33" s="17">
        <f t="shared" si="0"/>
        <v>24</v>
      </c>
      <c r="E33" s="2">
        <v>2</v>
      </c>
      <c r="F33" s="2">
        <v>2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1</v>
      </c>
      <c r="M33" s="2">
        <v>2</v>
      </c>
      <c r="N33" s="2">
        <v>1</v>
      </c>
      <c r="O33" s="2">
        <v>2</v>
      </c>
      <c r="P33" s="2">
        <v>1</v>
      </c>
      <c r="Q33" s="2">
        <v>2</v>
      </c>
      <c r="R33" s="2">
        <v>1</v>
      </c>
      <c r="S33" s="3">
        <v>45929</v>
      </c>
      <c r="T33" s="2"/>
      <c r="U33" s="2" t="s">
        <v>23</v>
      </c>
    </row>
    <row r="34" spans="1:21" x14ac:dyDescent="0.25">
      <c r="A34" s="7" t="s">
        <v>16</v>
      </c>
      <c r="B34" s="2">
        <v>333</v>
      </c>
      <c r="C34" s="2">
        <v>9004</v>
      </c>
      <c r="D34" s="17">
        <f t="shared" si="0"/>
        <v>24</v>
      </c>
      <c r="E34" s="2">
        <v>2</v>
      </c>
      <c r="F34" s="2">
        <v>2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1</v>
      </c>
      <c r="M34" s="2">
        <v>2</v>
      </c>
      <c r="N34" s="2">
        <v>1</v>
      </c>
      <c r="O34" s="2">
        <v>2</v>
      </c>
      <c r="P34" s="2">
        <v>1</v>
      </c>
      <c r="Q34" s="2">
        <v>2</v>
      </c>
      <c r="R34" s="2">
        <v>1</v>
      </c>
      <c r="S34" s="3">
        <v>45929</v>
      </c>
      <c r="T34" s="2"/>
      <c r="U34" s="2" t="s">
        <v>23</v>
      </c>
    </row>
    <row r="35" spans="1:21" x14ac:dyDescent="0.25">
      <c r="A35" s="7" t="s">
        <v>16</v>
      </c>
      <c r="B35" s="2">
        <v>334</v>
      </c>
      <c r="C35" s="2">
        <v>9004</v>
      </c>
      <c r="D35" s="17">
        <f t="shared" si="0"/>
        <v>24</v>
      </c>
      <c r="E35" s="2">
        <v>2</v>
      </c>
      <c r="F35" s="2">
        <v>2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1</v>
      </c>
      <c r="M35" s="2">
        <v>2</v>
      </c>
      <c r="N35" s="2">
        <v>1</v>
      </c>
      <c r="O35" s="2">
        <v>2</v>
      </c>
      <c r="P35" s="2">
        <v>1</v>
      </c>
      <c r="Q35" s="2">
        <v>2</v>
      </c>
      <c r="R35" s="2">
        <v>1</v>
      </c>
      <c r="S35" s="3">
        <v>45929</v>
      </c>
      <c r="T35" s="2"/>
      <c r="U35" s="2" t="s">
        <v>23</v>
      </c>
    </row>
    <row r="36" spans="1:21" ht="14.25" customHeight="1" x14ac:dyDescent="0.25">
      <c r="A36" s="7" t="s">
        <v>16</v>
      </c>
      <c r="B36" s="2">
        <v>335</v>
      </c>
      <c r="C36" s="2">
        <v>9220</v>
      </c>
      <c r="D36" s="17">
        <f t="shared" si="0"/>
        <v>24</v>
      </c>
      <c r="E36" s="2">
        <v>2</v>
      </c>
      <c r="F36" s="2">
        <v>2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1</v>
      </c>
      <c r="M36" s="2">
        <v>2</v>
      </c>
      <c r="N36" s="2">
        <v>1</v>
      </c>
      <c r="O36" s="2">
        <v>2</v>
      </c>
      <c r="P36" s="2">
        <v>1</v>
      </c>
      <c r="Q36" s="2">
        <v>2</v>
      </c>
      <c r="R36" s="2">
        <v>1</v>
      </c>
      <c r="S36" s="3">
        <v>45929</v>
      </c>
      <c r="T36" s="2" t="s">
        <v>25</v>
      </c>
      <c r="U36" s="2"/>
    </row>
    <row r="37" spans="1:21" x14ac:dyDescent="0.25">
      <c r="A37" s="7" t="s">
        <v>16</v>
      </c>
      <c r="B37" s="2">
        <v>336</v>
      </c>
      <c r="C37" s="2">
        <v>9006</v>
      </c>
      <c r="D37" s="17">
        <f t="shared" si="0"/>
        <v>24</v>
      </c>
      <c r="E37" s="2">
        <v>2</v>
      </c>
      <c r="F37" s="2">
        <v>2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1</v>
      </c>
      <c r="M37" s="2">
        <v>2</v>
      </c>
      <c r="N37" s="2">
        <v>1</v>
      </c>
      <c r="O37" s="2">
        <v>2</v>
      </c>
      <c r="P37" s="2">
        <v>1</v>
      </c>
      <c r="Q37" s="2">
        <v>2</v>
      </c>
      <c r="R37" s="2">
        <v>1</v>
      </c>
      <c r="S37" s="3">
        <v>45929</v>
      </c>
      <c r="T37" s="2"/>
      <c r="U37" s="2"/>
    </row>
    <row r="38" spans="1:21" x14ac:dyDescent="0.25">
      <c r="A38" s="7" t="s">
        <v>16</v>
      </c>
      <c r="B38" s="2">
        <v>337</v>
      </c>
      <c r="C38" s="2">
        <v>9006</v>
      </c>
      <c r="D38" s="17">
        <f t="shared" si="0"/>
        <v>24</v>
      </c>
      <c r="E38" s="2">
        <v>2</v>
      </c>
      <c r="F38" s="2">
        <v>2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1</v>
      </c>
      <c r="M38" s="2">
        <v>2</v>
      </c>
      <c r="N38" s="2">
        <v>1</v>
      </c>
      <c r="O38" s="2">
        <v>2</v>
      </c>
      <c r="P38" s="2">
        <v>1</v>
      </c>
      <c r="Q38" s="2">
        <v>2</v>
      </c>
      <c r="R38" s="2">
        <v>1</v>
      </c>
      <c r="S38" s="3">
        <v>45929</v>
      </c>
      <c r="T38" s="2" t="s">
        <v>24</v>
      </c>
      <c r="U38" s="2"/>
    </row>
    <row r="39" spans="1:21" x14ac:dyDescent="0.25">
      <c r="A39" s="7" t="s">
        <v>16</v>
      </c>
      <c r="B39" s="2">
        <v>338</v>
      </c>
      <c r="C39" s="2">
        <v>9006</v>
      </c>
      <c r="D39" s="17">
        <f t="shared" si="0"/>
        <v>24</v>
      </c>
      <c r="E39" s="2">
        <v>2</v>
      </c>
      <c r="F39" s="2">
        <v>2</v>
      </c>
      <c r="G39" s="2">
        <v>2</v>
      </c>
      <c r="H39" s="2">
        <v>2</v>
      </c>
      <c r="I39" s="2">
        <v>2</v>
      </c>
      <c r="J39" s="2">
        <v>2</v>
      </c>
      <c r="K39" s="2">
        <v>2</v>
      </c>
      <c r="L39" s="2">
        <v>1</v>
      </c>
      <c r="M39" s="2">
        <v>2</v>
      </c>
      <c r="N39" s="2">
        <v>1</v>
      </c>
      <c r="O39" s="2">
        <v>2</v>
      </c>
      <c r="P39" s="2">
        <v>1</v>
      </c>
      <c r="Q39" s="2">
        <v>2</v>
      </c>
      <c r="R39" s="2">
        <v>1</v>
      </c>
      <c r="S39" s="3">
        <v>45929</v>
      </c>
      <c r="T39" s="2"/>
      <c r="U39" s="2"/>
    </row>
    <row r="40" spans="1:21" x14ac:dyDescent="0.25">
      <c r="A40" s="7" t="s">
        <v>16</v>
      </c>
      <c r="B40" s="2">
        <v>339</v>
      </c>
      <c r="C40" s="2">
        <v>3000</v>
      </c>
      <c r="D40" s="17">
        <f t="shared" si="0"/>
        <v>24</v>
      </c>
      <c r="E40" s="2">
        <v>2</v>
      </c>
      <c r="F40" s="2">
        <v>2</v>
      </c>
      <c r="G40" s="2">
        <v>2</v>
      </c>
      <c r="H40" s="2">
        <v>2</v>
      </c>
      <c r="I40" s="2">
        <v>2</v>
      </c>
      <c r="J40" s="2">
        <v>2</v>
      </c>
      <c r="K40" s="2">
        <v>2</v>
      </c>
      <c r="L40" s="2">
        <v>1</v>
      </c>
      <c r="M40" s="2">
        <v>2</v>
      </c>
      <c r="N40" s="2">
        <v>1</v>
      </c>
      <c r="O40" s="2">
        <v>2</v>
      </c>
      <c r="P40" s="2">
        <v>1</v>
      </c>
      <c r="Q40" s="2">
        <v>2</v>
      </c>
      <c r="R40" s="2">
        <v>1</v>
      </c>
      <c r="S40" s="3">
        <v>45929</v>
      </c>
      <c r="T40" s="2"/>
      <c r="U40" s="2" t="s">
        <v>23</v>
      </c>
    </row>
    <row r="41" spans="1:21" x14ac:dyDescent="0.25">
      <c r="A41" s="7" t="s">
        <v>17</v>
      </c>
      <c r="B41" s="2">
        <v>340</v>
      </c>
      <c r="C41" s="2">
        <v>9231</v>
      </c>
      <c r="D41" s="17">
        <f t="shared" si="0"/>
        <v>14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3">
        <v>45929</v>
      </c>
      <c r="T41" s="2" t="s">
        <v>25</v>
      </c>
      <c r="U41" s="2" t="s">
        <v>23</v>
      </c>
    </row>
    <row r="42" spans="1:21" x14ac:dyDescent="0.25">
      <c r="A42" s="7" t="s">
        <v>17</v>
      </c>
      <c r="B42" s="2">
        <v>341</v>
      </c>
      <c r="C42" s="2">
        <v>9237</v>
      </c>
      <c r="D42" s="17">
        <f t="shared" si="0"/>
        <v>14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3">
        <v>45929</v>
      </c>
      <c r="T42" s="2" t="s">
        <v>25</v>
      </c>
      <c r="U42" s="10" t="s">
        <v>23</v>
      </c>
    </row>
    <row r="43" spans="1:21" x14ac:dyDescent="0.25">
      <c r="A43" s="7" t="s">
        <v>18</v>
      </c>
      <c r="B43" s="2">
        <v>342</v>
      </c>
      <c r="C43" s="2">
        <v>9238</v>
      </c>
      <c r="D43" s="17">
        <f t="shared" si="0"/>
        <v>36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3</v>
      </c>
      <c r="L43" s="2">
        <v>3</v>
      </c>
      <c r="M43" s="2">
        <v>2</v>
      </c>
      <c r="N43" s="2">
        <v>2</v>
      </c>
      <c r="O43" s="2">
        <v>2</v>
      </c>
      <c r="P43" s="2">
        <v>2</v>
      </c>
      <c r="Q43" s="2">
        <v>2</v>
      </c>
      <c r="R43" s="2">
        <v>2</v>
      </c>
      <c r="S43" s="3">
        <v>45929</v>
      </c>
      <c r="T43" s="2" t="s">
        <v>25</v>
      </c>
      <c r="U43" s="2" t="s">
        <v>23</v>
      </c>
    </row>
    <row r="44" spans="1:21" x14ac:dyDescent="0.25">
      <c r="A44" s="7" t="s">
        <v>18</v>
      </c>
      <c r="B44" s="2">
        <v>343</v>
      </c>
      <c r="C44" s="2">
        <v>9232</v>
      </c>
      <c r="D44" s="17">
        <f t="shared" si="0"/>
        <v>36</v>
      </c>
      <c r="E44" s="2">
        <v>3</v>
      </c>
      <c r="F44" s="2">
        <v>3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3</v>
      </c>
      <c r="M44" s="2">
        <v>2</v>
      </c>
      <c r="N44" s="2">
        <v>2</v>
      </c>
      <c r="O44" s="2">
        <v>2</v>
      </c>
      <c r="P44" s="2">
        <v>2</v>
      </c>
      <c r="Q44" s="2">
        <v>2</v>
      </c>
      <c r="R44" s="2">
        <v>2</v>
      </c>
      <c r="S44" s="3">
        <v>45929</v>
      </c>
      <c r="T44" s="2" t="s">
        <v>25</v>
      </c>
      <c r="U44" s="2" t="s">
        <v>23</v>
      </c>
    </row>
    <row r="45" spans="1:21" x14ac:dyDescent="0.25">
      <c r="A45" s="7" t="s">
        <v>18</v>
      </c>
      <c r="B45" s="2">
        <v>344</v>
      </c>
      <c r="C45" s="2">
        <v>9266</v>
      </c>
      <c r="D45" s="17">
        <f t="shared" si="0"/>
        <v>36</v>
      </c>
      <c r="E45" s="2">
        <v>3</v>
      </c>
      <c r="F45" s="2">
        <v>3</v>
      </c>
      <c r="G45" s="2">
        <v>3</v>
      </c>
      <c r="H45" s="2">
        <v>3</v>
      </c>
      <c r="I45" s="2">
        <v>3</v>
      </c>
      <c r="J45" s="2">
        <v>3</v>
      </c>
      <c r="K45" s="2">
        <v>3</v>
      </c>
      <c r="L45" s="2">
        <v>3</v>
      </c>
      <c r="M45" s="2">
        <v>2</v>
      </c>
      <c r="N45" s="2">
        <v>2</v>
      </c>
      <c r="O45" s="2">
        <v>2</v>
      </c>
      <c r="P45" s="2">
        <v>2</v>
      </c>
      <c r="Q45" s="2">
        <v>2</v>
      </c>
      <c r="R45" s="2">
        <v>2</v>
      </c>
      <c r="S45" s="3">
        <v>45929</v>
      </c>
      <c r="T45" s="2" t="s">
        <v>25</v>
      </c>
      <c r="U45" s="2" t="s">
        <v>23</v>
      </c>
    </row>
    <row r="46" spans="1:21" x14ac:dyDescent="0.25">
      <c r="A46" s="7" t="s">
        <v>18</v>
      </c>
      <c r="B46" s="2">
        <v>345</v>
      </c>
      <c r="C46" s="2">
        <v>9231</v>
      </c>
      <c r="D46" s="17">
        <f t="shared" si="0"/>
        <v>36</v>
      </c>
      <c r="E46" s="2">
        <v>3</v>
      </c>
      <c r="F46" s="2">
        <v>3</v>
      </c>
      <c r="G46" s="2">
        <v>3</v>
      </c>
      <c r="H46" s="2">
        <v>3</v>
      </c>
      <c r="I46" s="2">
        <v>3</v>
      </c>
      <c r="J46" s="2">
        <v>3</v>
      </c>
      <c r="K46" s="2">
        <v>3</v>
      </c>
      <c r="L46" s="2">
        <v>3</v>
      </c>
      <c r="M46" s="2">
        <v>2</v>
      </c>
      <c r="N46" s="2">
        <v>2</v>
      </c>
      <c r="O46" s="2">
        <v>2</v>
      </c>
      <c r="P46" s="2">
        <v>2</v>
      </c>
      <c r="Q46" s="2">
        <v>2</v>
      </c>
      <c r="R46" s="2">
        <v>2</v>
      </c>
      <c r="S46" s="3">
        <v>45929</v>
      </c>
      <c r="T46" s="2" t="s">
        <v>25</v>
      </c>
      <c r="U46" s="2" t="s">
        <v>23</v>
      </c>
    </row>
    <row r="47" spans="1:21" x14ac:dyDescent="0.25">
      <c r="A47" s="7" t="s">
        <v>19</v>
      </c>
      <c r="B47" s="2">
        <v>346</v>
      </c>
      <c r="C47" s="2">
        <v>9263</v>
      </c>
      <c r="D47" s="17">
        <f t="shared" si="0"/>
        <v>24</v>
      </c>
      <c r="E47" s="2"/>
      <c r="F47" s="2"/>
      <c r="G47" s="2"/>
      <c r="H47" s="2"/>
      <c r="I47" s="2"/>
      <c r="J47" s="2"/>
      <c r="K47" s="2">
        <v>4</v>
      </c>
      <c r="L47" s="2">
        <v>4</v>
      </c>
      <c r="M47" s="2">
        <v>2</v>
      </c>
      <c r="N47" s="2">
        <v>2</v>
      </c>
      <c r="O47" s="2">
        <v>2</v>
      </c>
      <c r="P47" s="2">
        <v>2</v>
      </c>
      <c r="Q47" s="2">
        <v>4</v>
      </c>
      <c r="R47" s="2">
        <v>4</v>
      </c>
      <c r="S47" s="3">
        <v>45929</v>
      </c>
      <c r="T47" s="2" t="s">
        <v>25</v>
      </c>
      <c r="U47" s="2" t="s">
        <v>23</v>
      </c>
    </row>
    <row r="48" spans="1:21" x14ac:dyDescent="0.25">
      <c r="A48" s="7" t="s">
        <v>19</v>
      </c>
      <c r="B48" s="2">
        <v>347</v>
      </c>
      <c r="C48" s="2">
        <v>9266</v>
      </c>
      <c r="D48" s="17">
        <f t="shared" si="0"/>
        <v>24</v>
      </c>
      <c r="E48" s="2"/>
      <c r="F48" s="2"/>
      <c r="G48" s="2"/>
      <c r="H48" s="2"/>
      <c r="I48" s="2"/>
      <c r="J48" s="2"/>
      <c r="K48" s="2">
        <v>4</v>
      </c>
      <c r="L48" s="2">
        <v>4</v>
      </c>
      <c r="M48" s="2">
        <v>2</v>
      </c>
      <c r="N48" s="2">
        <v>2</v>
      </c>
      <c r="O48" s="2">
        <v>2</v>
      </c>
      <c r="P48" s="2">
        <v>2</v>
      </c>
      <c r="Q48" s="2">
        <v>4</v>
      </c>
      <c r="R48" s="2">
        <v>4</v>
      </c>
      <c r="S48" s="3">
        <v>45929</v>
      </c>
      <c r="T48" s="2" t="s">
        <v>23</v>
      </c>
      <c r="U48" s="2" t="s">
        <v>23</v>
      </c>
    </row>
    <row r="49" spans="1:21" x14ac:dyDescent="0.25">
      <c r="A49" s="7" t="s">
        <v>19</v>
      </c>
      <c r="B49" s="2">
        <v>348</v>
      </c>
      <c r="C49" s="2">
        <v>9262</v>
      </c>
      <c r="D49" s="17">
        <f t="shared" si="0"/>
        <v>24</v>
      </c>
      <c r="E49" s="2"/>
      <c r="F49" s="2"/>
      <c r="G49" s="1"/>
      <c r="H49" s="1"/>
      <c r="I49" s="1"/>
      <c r="J49" s="1"/>
      <c r="K49" s="2">
        <v>4</v>
      </c>
      <c r="L49" s="2">
        <v>4</v>
      </c>
      <c r="M49" s="2">
        <v>2</v>
      </c>
      <c r="N49" s="2">
        <v>2</v>
      </c>
      <c r="O49" s="2">
        <v>2</v>
      </c>
      <c r="P49" s="2">
        <v>2</v>
      </c>
      <c r="Q49" s="2">
        <v>4</v>
      </c>
      <c r="R49" s="2">
        <v>4</v>
      </c>
      <c r="S49" s="3">
        <v>45929</v>
      </c>
      <c r="T49" s="2" t="s">
        <v>25</v>
      </c>
      <c r="U49" s="2" t="s">
        <v>23</v>
      </c>
    </row>
    <row r="50" spans="1:21" x14ac:dyDescent="0.25">
      <c r="D50" s="17">
        <f>SUM(D3:D49)</f>
        <v>1648</v>
      </c>
      <c r="E50">
        <f>SUM(E3:E49)</f>
        <v>116</v>
      </c>
      <c r="F50">
        <f t="shared" ref="F50:Q50" si="2">SUM(F3:F49)</f>
        <v>116</v>
      </c>
      <c r="G50">
        <f t="shared" si="2"/>
        <v>116</v>
      </c>
      <c r="H50">
        <f t="shared" si="2"/>
        <v>116</v>
      </c>
      <c r="I50">
        <f t="shared" si="2"/>
        <v>116</v>
      </c>
      <c r="J50">
        <f t="shared" si="2"/>
        <v>116</v>
      </c>
      <c r="K50">
        <f t="shared" si="2"/>
        <v>152</v>
      </c>
      <c r="L50">
        <f t="shared" si="2"/>
        <v>98</v>
      </c>
      <c r="M50">
        <f t="shared" si="2"/>
        <v>142</v>
      </c>
      <c r="N50">
        <f t="shared" si="2"/>
        <v>88</v>
      </c>
      <c r="O50">
        <f t="shared" si="2"/>
        <v>142</v>
      </c>
      <c r="P50">
        <f t="shared" si="2"/>
        <v>88</v>
      </c>
      <c r="Q50">
        <f t="shared" si="2"/>
        <v>148</v>
      </c>
      <c r="R50">
        <f>SUM(R3:R49)</f>
        <v>94</v>
      </c>
    </row>
  </sheetData>
  <mergeCells count="4">
    <mergeCell ref="T1:U1"/>
    <mergeCell ref="A1:D1"/>
    <mergeCell ref="E1:R1"/>
    <mergeCell ref="S1:S2"/>
  </mergeCells>
  <pageMargins left="0.7" right="0.7" top="0.75" bottom="0.75" header="0.3" footer="0.3"/>
  <pageSetup paperSize="256" orientation="portrait" horizontalDpi="203" verticalDpi="203" r:id="rId1"/>
  <ignoredErrors>
    <ignoredError sqref="D6:D36 D3:D5 D37:D49 E50:R5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selection activeCell="E13" sqref="E13"/>
    </sheetView>
  </sheetViews>
  <sheetFormatPr defaultColWidth="11.42578125" defaultRowHeight="15" x14ac:dyDescent="0.25"/>
  <cols>
    <col min="1" max="1" width="25.28515625" customWidth="1"/>
    <col min="5" max="5" width="4.140625" customWidth="1"/>
    <col min="6" max="6" width="4.85546875" customWidth="1"/>
    <col min="7" max="7" width="4.28515625" customWidth="1"/>
    <col min="8" max="8" width="5" customWidth="1"/>
    <col min="9" max="9" width="4.5703125" customWidth="1"/>
    <col min="10" max="10" width="5.140625" customWidth="1"/>
    <col min="11" max="11" width="4.7109375" customWidth="1"/>
    <col min="12" max="12" width="5.140625" customWidth="1"/>
    <col min="13" max="13" width="4.5703125" customWidth="1"/>
    <col min="14" max="14" width="4.85546875" customWidth="1"/>
    <col min="15" max="15" width="4.7109375" customWidth="1"/>
    <col min="16" max="16" width="5.7109375" customWidth="1"/>
    <col min="17" max="17" width="4.85546875" customWidth="1"/>
    <col min="18" max="18" width="5.140625" customWidth="1"/>
    <col min="19" max="19" width="17" customWidth="1"/>
    <col min="20" max="20" width="15.140625" customWidth="1"/>
    <col min="21" max="21" width="14.85546875" customWidth="1"/>
  </cols>
  <sheetData>
    <row r="1" spans="1:21" ht="18.75" x14ac:dyDescent="0.25">
      <c r="A1" s="63" t="s">
        <v>8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6" t="s">
        <v>0</v>
      </c>
      <c r="B2" s="6" t="s">
        <v>1</v>
      </c>
      <c r="C2" s="6" t="s">
        <v>3</v>
      </c>
      <c r="D2" s="12" t="s">
        <v>2</v>
      </c>
      <c r="E2" s="6">
        <v>15</v>
      </c>
      <c r="F2" s="6">
        <v>15.5</v>
      </c>
      <c r="G2" s="6">
        <v>16</v>
      </c>
      <c r="H2" s="6">
        <v>16.5</v>
      </c>
      <c r="I2" s="6">
        <v>17</v>
      </c>
      <c r="J2" s="6">
        <v>17.5</v>
      </c>
      <c r="K2" s="6">
        <v>18</v>
      </c>
      <c r="L2" s="6">
        <v>18.5</v>
      </c>
      <c r="M2" s="6">
        <v>19</v>
      </c>
      <c r="N2" s="6">
        <v>19.5</v>
      </c>
      <c r="O2" s="6">
        <v>20</v>
      </c>
      <c r="P2" s="6">
        <v>20.5</v>
      </c>
      <c r="Q2" s="6">
        <v>21</v>
      </c>
      <c r="R2" s="6">
        <v>21.5</v>
      </c>
      <c r="S2" s="65"/>
      <c r="T2" s="6" t="s">
        <v>9</v>
      </c>
      <c r="U2" s="6" t="s">
        <v>10</v>
      </c>
    </row>
    <row r="3" spans="1:21" x14ac:dyDescent="0.25">
      <c r="A3" s="7" t="s">
        <v>21</v>
      </c>
      <c r="B3" s="2">
        <v>350</v>
      </c>
      <c r="C3" s="2">
        <v>9210</v>
      </c>
      <c r="D3" s="17">
        <f>SUM(E3:R3)</f>
        <v>56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4</v>
      </c>
      <c r="K3" s="2">
        <v>4</v>
      </c>
      <c r="L3" s="2">
        <v>4</v>
      </c>
      <c r="M3" s="2">
        <v>4</v>
      </c>
      <c r="N3" s="2">
        <v>4</v>
      </c>
      <c r="O3" s="2">
        <v>4</v>
      </c>
      <c r="P3" s="2">
        <v>4</v>
      </c>
      <c r="Q3" s="2">
        <v>4</v>
      </c>
      <c r="R3" s="2">
        <v>4</v>
      </c>
      <c r="S3" s="3">
        <v>45936</v>
      </c>
      <c r="T3" s="2" t="s">
        <v>25</v>
      </c>
      <c r="U3" s="2" t="s">
        <v>25</v>
      </c>
    </row>
    <row r="4" spans="1:21" x14ac:dyDescent="0.25">
      <c r="A4" s="7" t="s">
        <v>21</v>
      </c>
      <c r="B4" s="2">
        <v>351</v>
      </c>
      <c r="C4" s="2">
        <v>9209</v>
      </c>
      <c r="D4" s="17">
        <f>SUM(E4:R4)</f>
        <v>42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3">
        <v>45936</v>
      </c>
      <c r="T4" s="2" t="s">
        <v>25</v>
      </c>
      <c r="U4" s="2" t="s">
        <v>23</v>
      </c>
    </row>
    <row r="5" spans="1:21" x14ac:dyDescent="0.25">
      <c r="A5" s="7" t="s">
        <v>7</v>
      </c>
      <c r="B5" s="2">
        <v>361</v>
      </c>
      <c r="C5" s="2">
        <v>9215</v>
      </c>
      <c r="D5" s="17">
        <f>SUM(E5:R5)</f>
        <v>12</v>
      </c>
      <c r="E5" s="2">
        <v>2</v>
      </c>
      <c r="F5" s="2"/>
      <c r="G5" s="2">
        <v>1</v>
      </c>
      <c r="H5" s="2"/>
      <c r="I5" s="2">
        <v>1</v>
      </c>
      <c r="J5" s="2"/>
      <c r="K5" s="2">
        <v>1</v>
      </c>
      <c r="L5" s="2"/>
      <c r="M5" s="2">
        <v>1</v>
      </c>
      <c r="N5" s="2"/>
      <c r="O5" s="2">
        <v>2</v>
      </c>
      <c r="P5" s="2"/>
      <c r="Q5" s="2">
        <v>2</v>
      </c>
      <c r="R5" s="2">
        <v>2</v>
      </c>
      <c r="S5" s="3">
        <v>45939</v>
      </c>
      <c r="T5" s="2" t="s">
        <v>25</v>
      </c>
      <c r="U5" s="2" t="s">
        <v>23</v>
      </c>
    </row>
    <row r="6" spans="1:21" x14ac:dyDescent="0.25">
      <c r="A6" s="4"/>
      <c r="B6" s="4"/>
      <c r="C6" s="4"/>
      <c r="D6" s="17">
        <f>SUM(D3:D5)</f>
        <v>110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11"/>
      <c r="B7" s="11"/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</sheetData>
  <mergeCells count="4">
    <mergeCell ref="A1:D1"/>
    <mergeCell ref="E1:R1"/>
    <mergeCell ref="T1:U1"/>
    <mergeCell ref="S1:S2"/>
  </mergeCells>
  <pageMargins left="0.7" right="0.7" top="0.75" bottom="0.75" header="0.3" footer="0.3"/>
  <ignoredErrors>
    <ignoredError sqref="D3:D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7"/>
  <sheetViews>
    <sheetView topLeftCell="A34" workbookViewId="0">
      <selection activeCell="A44" sqref="A44:XFD44"/>
    </sheetView>
  </sheetViews>
  <sheetFormatPr defaultColWidth="11.42578125" defaultRowHeight="15" x14ac:dyDescent="0.25"/>
  <cols>
    <col min="1" max="1" width="16.85546875" customWidth="1"/>
    <col min="5" max="5" width="4.28515625" customWidth="1"/>
    <col min="6" max="6" width="6.28515625" customWidth="1"/>
    <col min="7" max="7" width="4.5703125" customWidth="1"/>
    <col min="8" max="8" width="5" customWidth="1"/>
    <col min="9" max="9" width="4.7109375" customWidth="1"/>
    <col min="10" max="10" width="5.7109375" customWidth="1"/>
    <col min="11" max="11" width="4.5703125" customWidth="1"/>
    <col min="12" max="12" width="5.28515625" customWidth="1"/>
    <col min="13" max="13" width="4.85546875" customWidth="1"/>
    <col min="14" max="14" width="5.5703125" customWidth="1"/>
    <col min="15" max="15" width="4.5703125" customWidth="1"/>
    <col min="16" max="16" width="5.42578125" customWidth="1"/>
    <col min="17" max="17" width="4.5703125" customWidth="1"/>
    <col min="18" max="18" width="5.140625" customWidth="1"/>
    <col min="19" max="19" width="16.7109375" customWidth="1"/>
    <col min="20" max="20" width="14" customWidth="1"/>
    <col min="21" max="21" width="14.7109375" customWidth="1"/>
  </cols>
  <sheetData>
    <row r="1" spans="1:21" ht="18.75" x14ac:dyDescent="0.25">
      <c r="A1" s="63" t="s">
        <v>27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6" t="s">
        <v>0</v>
      </c>
      <c r="B2" s="6" t="s">
        <v>1</v>
      </c>
      <c r="C2" s="6" t="s">
        <v>3</v>
      </c>
      <c r="D2" s="12" t="s">
        <v>2</v>
      </c>
      <c r="E2" s="6">
        <v>15</v>
      </c>
      <c r="F2" s="6">
        <v>15.5</v>
      </c>
      <c r="G2" s="6">
        <v>16</v>
      </c>
      <c r="H2" s="6">
        <v>16.5</v>
      </c>
      <c r="I2" s="6">
        <v>17</v>
      </c>
      <c r="J2" s="6">
        <v>17.5</v>
      </c>
      <c r="K2" s="6">
        <v>18</v>
      </c>
      <c r="L2" s="6">
        <v>18.5</v>
      </c>
      <c r="M2" s="6">
        <v>19</v>
      </c>
      <c r="N2" s="6">
        <v>19.5</v>
      </c>
      <c r="O2" s="6">
        <v>20</v>
      </c>
      <c r="P2" s="6">
        <v>20.5</v>
      </c>
      <c r="Q2" s="6">
        <v>21</v>
      </c>
      <c r="R2" s="6">
        <v>21.5</v>
      </c>
      <c r="S2" s="65"/>
      <c r="T2" s="6" t="s">
        <v>9</v>
      </c>
      <c r="U2" s="6" t="s">
        <v>10</v>
      </c>
    </row>
    <row r="3" spans="1:21" x14ac:dyDescent="0.25">
      <c r="A3" s="1" t="s">
        <v>28</v>
      </c>
      <c r="B3" s="2">
        <v>362</v>
      </c>
      <c r="C3" s="2">
        <v>9228</v>
      </c>
      <c r="D3" s="17">
        <f>SUM(E3:R3)</f>
        <v>24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1</v>
      </c>
      <c r="M3" s="2">
        <v>2</v>
      </c>
      <c r="N3" s="2">
        <v>1</v>
      </c>
      <c r="O3" s="2">
        <v>2</v>
      </c>
      <c r="P3" s="2">
        <v>1</v>
      </c>
      <c r="Q3" s="2">
        <v>2</v>
      </c>
      <c r="R3" s="2">
        <v>1</v>
      </c>
      <c r="S3" s="3">
        <v>45946</v>
      </c>
      <c r="T3" s="2" t="s">
        <v>23</v>
      </c>
      <c r="U3" s="2" t="s">
        <v>23</v>
      </c>
    </row>
    <row r="4" spans="1:21" x14ac:dyDescent="0.25">
      <c r="A4" s="1" t="s">
        <v>28</v>
      </c>
      <c r="B4" s="2">
        <v>363</v>
      </c>
      <c r="C4" s="2">
        <v>9219</v>
      </c>
      <c r="D4" s="17">
        <f t="shared" ref="D4:D55" si="0">SUM(E4:R4)</f>
        <v>24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1</v>
      </c>
      <c r="M4" s="2">
        <v>2</v>
      </c>
      <c r="N4" s="2">
        <v>1</v>
      </c>
      <c r="O4" s="2">
        <v>2</v>
      </c>
      <c r="P4" s="2">
        <v>1</v>
      </c>
      <c r="Q4" s="2">
        <v>2</v>
      </c>
      <c r="R4" s="2">
        <v>1</v>
      </c>
      <c r="S4" s="3">
        <v>45946</v>
      </c>
      <c r="T4" s="2" t="s">
        <v>25</v>
      </c>
      <c r="U4" s="2" t="s">
        <v>23</v>
      </c>
    </row>
    <row r="5" spans="1:21" x14ac:dyDescent="0.25">
      <c r="A5" s="1" t="s">
        <v>28</v>
      </c>
      <c r="B5" s="2">
        <v>364</v>
      </c>
      <c r="C5" s="2">
        <v>9211</v>
      </c>
      <c r="D5" s="17">
        <f t="shared" si="0"/>
        <v>24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1</v>
      </c>
      <c r="M5" s="2">
        <v>2</v>
      </c>
      <c r="N5" s="2">
        <v>1</v>
      </c>
      <c r="O5" s="2">
        <v>2</v>
      </c>
      <c r="P5" s="2">
        <v>1</v>
      </c>
      <c r="Q5" s="2">
        <v>2</v>
      </c>
      <c r="R5" s="2">
        <v>1</v>
      </c>
      <c r="S5" s="3">
        <v>45946</v>
      </c>
      <c r="T5" s="2"/>
      <c r="U5" s="2" t="s">
        <v>23</v>
      </c>
    </row>
    <row r="6" spans="1:21" x14ac:dyDescent="0.25">
      <c r="A6" s="1" t="s">
        <v>28</v>
      </c>
      <c r="B6" s="2">
        <v>365</v>
      </c>
      <c r="C6" s="2">
        <v>9209</v>
      </c>
      <c r="D6" s="17">
        <f t="shared" si="0"/>
        <v>24</v>
      </c>
      <c r="E6" s="2">
        <v>2</v>
      </c>
      <c r="F6" s="2">
        <v>2</v>
      </c>
      <c r="G6" s="2">
        <v>2</v>
      </c>
      <c r="H6" s="2">
        <v>2</v>
      </c>
      <c r="I6" s="2">
        <v>2</v>
      </c>
      <c r="J6" s="2">
        <v>2</v>
      </c>
      <c r="K6" s="2">
        <v>2</v>
      </c>
      <c r="L6" s="2">
        <v>1</v>
      </c>
      <c r="M6" s="2">
        <v>2</v>
      </c>
      <c r="N6" s="2">
        <v>1</v>
      </c>
      <c r="O6" s="2">
        <v>2</v>
      </c>
      <c r="P6" s="2">
        <v>1</v>
      </c>
      <c r="Q6" s="2">
        <v>2</v>
      </c>
      <c r="R6" s="2">
        <v>1</v>
      </c>
      <c r="S6" s="3">
        <v>45946</v>
      </c>
      <c r="T6" s="2"/>
      <c r="U6" s="2" t="s">
        <v>23</v>
      </c>
    </row>
    <row r="7" spans="1:21" x14ac:dyDescent="0.25">
      <c r="A7" s="1" t="s">
        <v>28</v>
      </c>
      <c r="B7" s="2">
        <v>366</v>
      </c>
      <c r="C7" s="2">
        <v>9208</v>
      </c>
      <c r="D7" s="17">
        <f t="shared" si="0"/>
        <v>24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s="2">
        <v>1</v>
      </c>
      <c r="M7" s="2">
        <v>2</v>
      </c>
      <c r="N7" s="2">
        <v>1</v>
      </c>
      <c r="O7" s="2">
        <v>2</v>
      </c>
      <c r="P7" s="2">
        <v>1</v>
      </c>
      <c r="Q7" s="2">
        <v>2</v>
      </c>
      <c r="R7" s="2">
        <v>1</v>
      </c>
      <c r="S7" s="3">
        <v>45946</v>
      </c>
      <c r="T7" s="2"/>
      <c r="U7" s="2" t="s">
        <v>23</v>
      </c>
    </row>
    <row r="8" spans="1:21" x14ac:dyDescent="0.25">
      <c r="A8" s="1" t="s">
        <v>28</v>
      </c>
      <c r="B8" s="2">
        <v>367</v>
      </c>
      <c r="C8" s="2">
        <v>9225</v>
      </c>
      <c r="D8" s="17">
        <f t="shared" si="0"/>
        <v>24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2</v>
      </c>
      <c r="K8" s="2">
        <v>2</v>
      </c>
      <c r="L8" s="2">
        <v>1</v>
      </c>
      <c r="M8" s="2">
        <v>2</v>
      </c>
      <c r="N8" s="2">
        <v>1</v>
      </c>
      <c r="O8" s="2">
        <v>2</v>
      </c>
      <c r="P8" s="2">
        <v>1</v>
      </c>
      <c r="Q8" s="2">
        <v>2</v>
      </c>
      <c r="R8" s="2">
        <v>1</v>
      </c>
      <c r="S8" s="3">
        <v>45946</v>
      </c>
      <c r="T8" s="2" t="s">
        <v>23</v>
      </c>
      <c r="U8" s="2" t="s">
        <v>23</v>
      </c>
    </row>
    <row r="9" spans="1:21" x14ac:dyDescent="0.25">
      <c r="A9" s="1" t="s">
        <v>28</v>
      </c>
      <c r="B9" s="2">
        <v>368</v>
      </c>
      <c r="C9" s="2">
        <v>9210</v>
      </c>
      <c r="D9" s="17">
        <f t="shared" si="0"/>
        <v>24</v>
      </c>
      <c r="E9" s="2">
        <v>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2</v>
      </c>
      <c r="L9" s="2">
        <v>1</v>
      </c>
      <c r="M9" s="2">
        <v>2</v>
      </c>
      <c r="N9" s="2">
        <v>1</v>
      </c>
      <c r="O9" s="2">
        <v>2</v>
      </c>
      <c r="P9" s="2">
        <v>1</v>
      </c>
      <c r="Q9" s="2">
        <v>2</v>
      </c>
      <c r="R9" s="2">
        <v>1</v>
      </c>
      <c r="S9" s="3">
        <v>45946</v>
      </c>
      <c r="T9" s="2"/>
      <c r="U9" s="2" t="s">
        <v>23</v>
      </c>
    </row>
    <row r="10" spans="1:21" x14ac:dyDescent="0.25">
      <c r="A10" s="1" t="s">
        <v>28</v>
      </c>
      <c r="B10" s="2">
        <v>369</v>
      </c>
      <c r="C10" s="2">
        <v>9205</v>
      </c>
      <c r="D10" s="17">
        <f t="shared" si="0"/>
        <v>24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1</v>
      </c>
      <c r="M10" s="2">
        <v>2</v>
      </c>
      <c r="N10" s="2">
        <v>1</v>
      </c>
      <c r="O10" s="2">
        <v>2</v>
      </c>
      <c r="P10" s="2">
        <v>1</v>
      </c>
      <c r="Q10" s="2">
        <v>2</v>
      </c>
      <c r="R10" s="2">
        <v>1</v>
      </c>
      <c r="S10" s="3">
        <v>45946</v>
      </c>
      <c r="T10" s="2" t="s">
        <v>25</v>
      </c>
      <c r="U10" s="2" t="s">
        <v>23</v>
      </c>
    </row>
    <row r="11" spans="1:21" x14ac:dyDescent="0.25">
      <c r="A11" s="1" t="s">
        <v>28</v>
      </c>
      <c r="B11" s="2">
        <v>370</v>
      </c>
      <c r="C11" s="2">
        <v>9201</v>
      </c>
      <c r="D11" s="17">
        <f t="shared" si="0"/>
        <v>24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1</v>
      </c>
      <c r="M11" s="2">
        <v>2</v>
      </c>
      <c r="N11" s="2">
        <v>1</v>
      </c>
      <c r="O11" s="2">
        <v>2</v>
      </c>
      <c r="P11" s="2">
        <v>1</v>
      </c>
      <c r="Q11" s="2">
        <v>2</v>
      </c>
      <c r="R11" s="2">
        <v>1</v>
      </c>
      <c r="S11" s="3">
        <v>45946</v>
      </c>
      <c r="T11" s="2" t="s">
        <v>25</v>
      </c>
      <c r="U11" s="2" t="s">
        <v>23</v>
      </c>
    </row>
    <row r="12" spans="1:21" x14ac:dyDescent="0.25">
      <c r="A12" s="1" t="s">
        <v>29</v>
      </c>
      <c r="B12" s="2">
        <v>371</v>
      </c>
      <c r="C12" s="2">
        <v>9225</v>
      </c>
      <c r="D12" s="17">
        <f t="shared" si="0"/>
        <v>24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1</v>
      </c>
      <c r="M12" s="2">
        <v>2</v>
      </c>
      <c r="N12" s="2">
        <v>1</v>
      </c>
      <c r="O12" s="2">
        <v>2</v>
      </c>
      <c r="P12" s="2">
        <v>1</v>
      </c>
      <c r="Q12" s="2">
        <v>2</v>
      </c>
      <c r="R12" s="2">
        <v>1</v>
      </c>
      <c r="S12" s="3">
        <v>45946</v>
      </c>
      <c r="T12" s="2" t="s">
        <v>23</v>
      </c>
      <c r="U12" s="2" t="s">
        <v>23</v>
      </c>
    </row>
    <row r="13" spans="1:21" x14ac:dyDescent="0.25">
      <c r="A13" s="1" t="s">
        <v>29</v>
      </c>
      <c r="B13" s="2">
        <v>372</v>
      </c>
      <c r="C13" s="2">
        <v>9205</v>
      </c>
      <c r="D13" s="17">
        <f t="shared" si="0"/>
        <v>24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2">
        <v>1</v>
      </c>
      <c r="M13" s="2">
        <v>2</v>
      </c>
      <c r="N13" s="2">
        <v>1</v>
      </c>
      <c r="O13" s="2">
        <v>2</v>
      </c>
      <c r="P13" s="2">
        <v>1</v>
      </c>
      <c r="Q13" s="2">
        <v>2</v>
      </c>
      <c r="R13" s="2">
        <v>1</v>
      </c>
      <c r="S13" s="3">
        <v>45946</v>
      </c>
      <c r="T13" s="2" t="s">
        <v>25</v>
      </c>
      <c r="U13" s="2" t="s">
        <v>23</v>
      </c>
    </row>
    <row r="14" spans="1:21" x14ac:dyDescent="0.25">
      <c r="A14" s="1" t="s">
        <v>29</v>
      </c>
      <c r="B14" s="2">
        <v>373</v>
      </c>
      <c r="C14" s="2" t="s">
        <v>30</v>
      </c>
      <c r="D14" s="17">
        <f t="shared" si="0"/>
        <v>24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2</v>
      </c>
      <c r="L14" s="2">
        <v>1</v>
      </c>
      <c r="M14" s="2">
        <v>2</v>
      </c>
      <c r="N14" s="2">
        <v>1</v>
      </c>
      <c r="O14" s="2">
        <v>2</v>
      </c>
      <c r="P14" s="2">
        <v>1</v>
      </c>
      <c r="Q14" s="2">
        <v>2</v>
      </c>
      <c r="R14" s="2">
        <v>1</v>
      </c>
      <c r="S14" s="3">
        <v>45946</v>
      </c>
      <c r="T14" s="2" t="s">
        <v>25</v>
      </c>
      <c r="U14" s="2" t="s">
        <v>23</v>
      </c>
    </row>
    <row r="15" spans="1:21" x14ac:dyDescent="0.25">
      <c r="A15" s="1" t="s">
        <v>29</v>
      </c>
      <c r="B15" s="2">
        <v>374</v>
      </c>
      <c r="C15" s="2">
        <v>9228</v>
      </c>
      <c r="D15" s="17">
        <f t="shared" si="0"/>
        <v>24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2</v>
      </c>
      <c r="L15" s="2">
        <v>1</v>
      </c>
      <c r="M15" s="2">
        <v>2</v>
      </c>
      <c r="N15" s="2">
        <v>1</v>
      </c>
      <c r="O15" s="2">
        <v>2</v>
      </c>
      <c r="P15" s="2">
        <v>1</v>
      </c>
      <c r="Q15" s="2">
        <v>2</v>
      </c>
      <c r="R15" s="2">
        <v>1</v>
      </c>
      <c r="S15" s="3">
        <v>45946</v>
      </c>
      <c r="T15" s="2" t="s">
        <v>23</v>
      </c>
      <c r="U15" s="2" t="s">
        <v>23</v>
      </c>
    </row>
    <row r="16" spans="1:21" x14ac:dyDescent="0.25">
      <c r="A16" s="1" t="s">
        <v>29</v>
      </c>
      <c r="B16" s="2">
        <v>375</v>
      </c>
      <c r="C16" s="2">
        <v>9220</v>
      </c>
      <c r="D16" s="17">
        <f t="shared" si="0"/>
        <v>24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  <c r="K16" s="2">
        <v>2</v>
      </c>
      <c r="L16" s="2">
        <v>1</v>
      </c>
      <c r="M16" s="2">
        <v>2</v>
      </c>
      <c r="N16" s="2">
        <v>1</v>
      </c>
      <c r="O16" s="2">
        <v>2</v>
      </c>
      <c r="P16" s="2">
        <v>1</v>
      </c>
      <c r="Q16" s="2">
        <v>2</v>
      </c>
      <c r="R16" s="2">
        <v>1</v>
      </c>
      <c r="S16" s="3">
        <v>45946</v>
      </c>
      <c r="T16" s="2" t="s">
        <v>25</v>
      </c>
      <c r="U16" s="2" t="s">
        <v>23</v>
      </c>
    </row>
    <row r="17" spans="1:21" x14ac:dyDescent="0.25">
      <c r="A17" s="1" t="s">
        <v>29</v>
      </c>
      <c r="B17" s="2">
        <v>376</v>
      </c>
      <c r="C17" s="2">
        <v>9201</v>
      </c>
      <c r="D17" s="17">
        <f t="shared" si="0"/>
        <v>24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1</v>
      </c>
      <c r="M17" s="2">
        <v>2</v>
      </c>
      <c r="N17" s="2">
        <v>1</v>
      </c>
      <c r="O17" s="2">
        <v>2</v>
      </c>
      <c r="P17" s="2">
        <v>1</v>
      </c>
      <c r="Q17" s="2">
        <v>2</v>
      </c>
      <c r="R17" s="2">
        <v>1</v>
      </c>
      <c r="S17" s="3">
        <v>45946</v>
      </c>
      <c r="T17" s="2"/>
      <c r="U17" s="2"/>
    </row>
    <row r="18" spans="1:21" x14ac:dyDescent="0.25">
      <c r="A18" s="1" t="s">
        <v>29</v>
      </c>
      <c r="B18" s="2">
        <v>377</v>
      </c>
      <c r="C18" s="2">
        <v>9218</v>
      </c>
      <c r="D18" s="17">
        <f t="shared" si="0"/>
        <v>24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2">
        <v>1</v>
      </c>
      <c r="M18" s="2">
        <v>2</v>
      </c>
      <c r="N18" s="2">
        <v>1</v>
      </c>
      <c r="O18" s="2">
        <v>2</v>
      </c>
      <c r="P18" s="2">
        <v>1</v>
      </c>
      <c r="Q18" s="2">
        <v>2</v>
      </c>
      <c r="R18" s="2">
        <v>1</v>
      </c>
      <c r="S18" s="3">
        <v>45946</v>
      </c>
      <c r="T18" s="2"/>
      <c r="U18" s="2"/>
    </row>
    <row r="19" spans="1:21" x14ac:dyDescent="0.25">
      <c r="A19" s="1" t="s">
        <v>29</v>
      </c>
      <c r="B19" s="2">
        <v>378</v>
      </c>
      <c r="C19" s="2">
        <v>9229</v>
      </c>
      <c r="D19" s="17">
        <f t="shared" si="0"/>
        <v>24</v>
      </c>
      <c r="E19" s="2">
        <v>2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>
        <v>1</v>
      </c>
      <c r="M19" s="2">
        <v>2</v>
      </c>
      <c r="N19" s="2">
        <v>1</v>
      </c>
      <c r="O19" s="2">
        <v>2</v>
      </c>
      <c r="P19" s="2">
        <v>1</v>
      </c>
      <c r="Q19" s="2">
        <v>2</v>
      </c>
      <c r="R19" s="2">
        <v>1</v>
      </c>
      <c r="S19" s="3">
        <v>45946</v>
      </c>
      <c r="T19" s="2" t="s">
        <v>23</v>
      </c>
      <c r="U19" s="2"/>
    </row>
    <row r="20" spans="1:21" x14ac:dyDescent="0.25">
      <c r="A20" s="1" t="s">
        <v>29</v>
      </c>
      <c r="B20" s="2">
        <v>379</v>
      </c>
      <c r="C20" s="2">
        <v>9208</v>
      </c>
      <c r="D20" s="17">
        <f t="shared" si="0"/>
        <v>24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1</v>
      </c>
      <c r="M20" s="2">
        <v>2</v>
      </c>
      <c r="N20" s="2">
        <v>1</v>
      </c>
      <c r="O20" s="2">
        <v>2</v>
      </c>
      <c r="P20" s="2">
        <v>1</v>
      </c>
      <c r="Q20" s="2">
        <v>2</v>
      </c>
      <c r="R20" s="2">
        <v>1</v>
      </c>
      <c r="S20" s="3">
        <v>45946</v>
      </c>
      <c r="T20" s="2" t="s">
        <v>23</v>
      </c>
      <c r="U20" s="2" t="s">
        <v>23</v>
      </c>
    </row>
    <row r="21" spans="1:21" x14ac:dyDescent="0.25">
      <c r="A21" s="1" t="s">
        <v>31</v>
      </c>
      <c r="B21" s="2">
        <v>380</v>
      </c>
      <c r="C21" s="2">
        <v>9205</v>
      </c>
      <c r="D21" s="17">
        <f t="shared" si="0"/>
        <v>24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1</v>
      </c>
      <c r="M21" s="2">
        <v>2</v>
      </c>
      <c r="N21" s="2">
        <v>1</v>
      </c>
      <c r="O21" s="2">
        <v>2</v>
      </c>
      <c r="P21" s="2">
        <v>1</v>
      </c>
      <c r="Q21" s="2">
        <v>2</v>
      </c>
      <c r="R21" s="2">
        <v>1</v>
      </c>
      <c r="S21" s="3">
        <v>45946</v>
      </c>
      <c r="T21" s="2" t="s">
        <v>25</v>
      </c>
      <c r="U21" s="2" t="s">
        <v>23</v>
      </c>
    </row>
    <row r="22" spans="1:21" x14ac:dyDescent="0.25">
      <c r="A22" s="1" t="s">
        <v>31</v>
      </c>
      <c r="B22" s="2">
        <v>381</v>
      </c>
      <c r="C22" s="2">
        <v>9201</v>
      </c>
      <c r="D22" s="17">
        <f t="shared" si="0"/>
        <v>24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1</v>
      </c>
      <c r="M22" s="2">
        <v>2</v>
      </c>
      <c r="N22" s="2">
        <v>1</v>
      </c>
      <c r="O22" s="2">
        <v>2</v>
      </c>
      <c r="P22" s="2">
        <v>1</v>
      </c>
      <c r="Q22" s="2">
        <v>2</v>
      </c>
      <c r="R22" s="2">
        <v>1</v>
      </c>
      <c r="S22" s="3">
        <v>45946</v>
      </c>
      <c r="T22" s="2"/>
      <c r="U22" s="2" t="s">
        <v>23</v>
      </c>
    </row>
    <row r="23" spans="1:21" x14ac:dyDescent="0.25">
      <c r="A23" s="1" t="s">
        <v>32</v>
      </c>
      <c r="B23" s="2">
        <v>382</v>
      </c>
      <c r="C23" s="2">
        <v>9220</v>
      </c>
      <c r="D23" s="17">
        <f t="shared" si="0"/>
        <v>28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2</v>
      </c>
      <c r="M23" s="2">
        <v>2</v>
      </c>
      <c r="N23" s="2">
        <v>2</v>
      </c>
      <c r="O23" s="2">
        <v>2</v>
      </c>
      <c r="P23" s="2">
        <v>2</v>
      </c>
      <c r="Q23" s="2">
        <v>2</v>
      </c>
      <c r="R23" s="2">
        <v>2</v>
      </c>
      <c r="S23" s="3">
        <v>45946</v>
      </c>
      <c r="T23" s="2" t="s">
        <v>25</v>
      </c>
      <c r="U23" s="2" t="s">
        <v>23</v>
      </c>
    </row>
    <row r="24" spans="1:21" x14ac:dyDescent="0.25">
      <c r="A24" s="1" t="s">
        <v>32</v>
      </c>
      <c r="B24" s="2">
        <v>383</v>
      </c>
      <c r="C24" s="2">
        <v>9201</v>
      </c>
      <c r="D24" s="17">
        <f t="shared" si="0"/>
        <v>28</v>
      </c>
      <c r="E24" s="2">
        <v>2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>
        <v>2</v>
      </c>
      <c r="L24" s="2">
        <v>2</v>
      </c>
      <c r="M24" s="2">
        <v>2</v>
      </c>
      <c r="N24" s="2">
        <v>2</v>
      </c>
      <c r="O24" s="2">
        <v>2</v>
      </c>
      <c r="P24" s="2">
        <v>2</v>
      </c>
      <c r="Q24" s="2">
        <v>2</v>
      </c>
      <c r="R24" s="2">
        <v>2</v>
      </c>
      <c r="S24" s="3">
        <v>45946</v>
      </c>
      <c r="T24" s="2"/>
      <c r="U24" s="2" t="s">
        <v>23</v>
      </c>
    </row>
    <row r="25" spans="1:21" x14ac:dyDescent="0.25">
      <c r="A25" s="1" t="s">
        <v>32</v>
      </c>
      <c r="B25" s="2">
        <v>384</v>
      </c>
      <c r="C25" s="2">
        <v>9228</v>
      </c>
      <c r="D25" s="17">
        <f t="shared" si="0"/>
        <v>28</v>
      </c>
      <c r="E25" s="2">
        <v>2</v>
      </c>
      <c r="F25" s="2">
        <v>2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2</v>
      </c>
      <c r="M25" s="2">
        <v>2</v>
      </c>
      <c r="N25" s="2">
        <v>2</v>
      </c>
      <c r="O25" s="2">
        <v>2</v>
      </c>
      <c r="P25" s="2">
        <v>2</v>
      </c>
      <c r="Q25" s="2">
        <v>2</v>
      </c>
      <c r="R25" s="2">
        <v>2</v>
      </c>
      <c r="S25" s="3">
        <v>45946</v>
      </c>
      <c r="T25" s="2"/>
      <c r="U25" s="2"/>
    </row>
    <row r="26" spans="1:21" x14ac:dyDescent="0.25">
      <c r="A26" s="1" t="s">
        <v>32</v>
      </c>
      <c r="B26" s="2">
        <v>385</v>
      </c>
      <c r="C26" s="2">
        <v>9219</v>
      </c>
      <c r="D26" s="17">
        <f t="shared" si="0"/>
        <v>28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2</v>
      </c>
      <c r="M26" s="2">
        <v>2</v>
      </c>
      <c r="N26" s="2">
        <v>2</v>
      </c>
      <c r="O26" s="2">
        <v>2</v>
      </c>
      <c r="P26" s="2">
        <v>2</v>
      </c>
      <c r="Q26" s="2">
        <v>2</v>
      </c>
      <c r="R26" s="2">
        <v>2</v>
      </c>
      <c r="S26" s="3">
        <v>45946</v>
      </c>
      <c r="T26" s="2" t="s">
        <v>23</v>
      </c>
      <c r="U26" s="2"/>
    </row>
    <row r="27" spans="1:21" x14ac:dyDescent="0.25">
      <c r="A27" s="1" t="s">
        <v>33</v>
      </c>
      <c r="B27" s="2">
        <v>386</v>
      </c>
      <c r="C27" s="2">
        <v>9218</v>
      </c>
      <c r="D27" s="17">
        <f t="shared" si="0"/>
        <v>24</v>
      </c>
      <c r="E27" s="2">
        <v>2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1</v>
      </c>
      <c r="M27" s="2">
        <v>2</v>
      </c>
      <c r="N27" s="2">
        <v>1</v>
      </c>
      <c r="O27" s="2">
        <v>2</v>
      </c>
      <c r="P27" s="2">
        <v>1</v>
      </c>
      <c r="Q27" s="2">
        <v>2</v>
      </c>
      <c r="R27" s="2">
        <v>1</v>
      </c>
      <c r="S27" s="3">
        <v>45946</v>
      </c>
      <c r="T27" s="2" t="s">
        <v>23</v>
      </c>
      <c r="U27" s="2" t="s">
        <v>23</v>
      </c>
    </row>
    <row r="28" spans="1:21" x14ac:dyDescent="0.25">
      <c r="A28" s="1" t="s">
        <v>33</v>
      </c>
      <c r="B28" s="2">
        <v>387</v>
      </c>
      <c r="C28" s="2">
        <v>9213</v>
      </c>
      <c r="D28" s="17">
        <f t="shared" si="0"/>
        <v>24</v>
      </c>
      <c r="E28" s="2">
        <v>2</v>
      </c>
      <c r="F28" s="2">
        <v>2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2">
        <v>1</v>
      </c>
      <c r="M28" s="2">
        <v>2</v>
      </c>
      <c r="N28" s="2">
        <v>1</v>
      </c>
      <c r="O28" s="2">
        <v>2</v>
      </c>
      <c r="P28" s="2">
        <v>1</v>
      </c>
      <c r="Q28" s="2">
        <v>2</v>
      </c>
      <c r="R28" s="2">
        <v>1</v>
      </c>
      <c r="S28" s="3">
        <v>45946</v>
      </c>
      <c r="T28" s="2" t="s">
        <v>24</v>
      </c>
      <c r="U28" s="2" t="s">
        <v>23</v>
      </c>
    </row>
    <row r="29" spans="1:21" x14ac:dyDescent="0.25">
      <c r="A29" s="1" t="s">
        <v>33</v>
      </c>
      <c r="B29" s="2">
        <v>388</v>
      </c>
      <c r="C29" s="2">
        <v>9209</v>
      </c>
      <c r="D29" s="17">
        <f t="shared" si="0"/>
        <v>24</v>
      </c>
      <c r="E29" s="2">
        <v>2</v>
      </c>
      <c r="F29" s="2">
        <v>2</v>
      </c>
      <c r="G29" s="2">
        <v>2</v>
      </c>
      <c r="H29" s="2">
        <v>2</v>
      </c>
      <c r="I29" s="2">
        <v>2</v>
      </c>
      <c r="J29" s="2">
        <v>2</v>
      </c>
      <c r="K29" s="2">
        <v>2</v>
      </c>
      <c r="L29" s="2">
        <v>1</v>
      </c>
      <c r="M29" s="2">
        <v>2</v>
      </c>
      <c r="N29" s="2">
        <v>1</v>
      </c>
      <c r="O29" s="2">
        <v>2</v>
      </c>
      <c r="P29" s="2">
        <v>1</v>
      </c>
      <c r="Q29" s="2">
        <v>2</v>
      </c>
      <c r="R29" s="2">
        <v>1</v>
      </c>
      <c r="S29" s="3">
        <v>45946</v>
      </c>
      <c r="T29" s="2"/>
      <c r="U29" s="2" t="s">
        <v>23</v>
      </c>
    </row>
    <row r="30" spans="1:21" x14ac:dyDescent="0.25">
      <c r="A30" s="1" t="s">
        <v>33</v>
      </c>
      <c r="B30" s="2">
        <v>389</v>
      </c>
      <c r="C30" s="2">
        <v>9210</v>
      </c>
      <c r="D30" s="17">
        <f t="shared" si="0"/>
        <v>96</v>
      </c>
      <c r="E30" s="2">
        <v>8</v>
      </c>
      <c r="F30" s="2">
        <v>8</v>
      </c>
      <c r="G30" s="2">
        <v>8</v>
      </c>
      <c r="H30" s="2">
        <v>8</v>
      </c>
      <c r="I30" s="2">
        <v>8</v>
      </c>
      <c r="J30" s="2">
        <v>8</v>
      </c>
      <c r="K30" s="2">
        <v>8</v>
      </c>
      <c r="L30" s="2">
        <v>4</v>
      </c>
      <c r="M30" s="2">
        <v>8</v>
      </c>
      <c r="N30" s="2">
        <v>4</v>
      </c>
      <c r="O30" s="2">
        <v>8</v>
      </c>
      <c r="P30" s="2">
        <v>4</v>
      </c>
      <c r="Q30" s="2">
        <v>8</v>
      </c>
      <c r="R30" s="2">
        <v>4</v>
      </c>
      <c r="S30" s="3">
        <v>45946</v>
      </c>
      <c r="T30" s="2" t="s">
        <v>49</v>
      </c>
      <c r="U30" s="2" t="s">
        <v>49</v>
      </c>
    </row>
    <row r="31" spans="1:21" x14ac:dyDescent="0.25">
      <c r="A31" s="1" t="s">
        <v>33</v>
      </c>
      <c r="B31" s="2">
        <v>390</v>
      </c>
      <c r="C31" s="2">
        <v>9232</v>
      </c>
      <c r="D31" s="17">
        <f t="shared" si="0"/>
        <v>72</v>
      </c>
      <c r="E31" s="2">
        <v>6</v>
      </c>
      <c r="F31" s="2">
        <v>6</v>
      </c>
      <c r="G31" s="2">
        <v>6</v>
      </c>
      <c r="H31" s="2">
        <v>6</v>
      </c>
      <c r="I31" s="2">
        <v>6</v>
      </c>
      <c r="J31" s="2">
        <v>6</v>
      </c>
      <c r="K31" s="2">
        <v>6</v>
      </c>
      <c r="L31" s="2">
        <v>3</v>
      </c>
      <c r="M31" s="2">
        <v>6</v>
      </c>
      <c r="N31" s="2">
        <v>3</v>
      </c>
      <c r="O31" s="2">
        <v>6</v>
      </c>
      <c r="P31" s="2">
        <v>3</v>
      </c>
      <c r="Q31" s="2">
        <v>6</v>
      </c>
      <c r="R31" s="2">
        <v>3</v>
      </c>
      <c r="S31" s="3">
        <v>45946</v>
      </c>
      <c r="T31" s="2" t="s">
        <v>25</v>
      </c>
      <c r="U31" s="2" t="s">
        <v>23</v>
      </c>
    </row>
    <row r="32" spans="1:21" x14ac:dyDescent="0.25">
      <c r="A32" s="1" t="s">
        <v>34</v>
      </c>
      <c r="B32" s="2">
        <v>391</v>
      </c>
      <c r="C32" s="2">
        <v>9202</v>
      </c>
      <c r="D32" s="17">
        <f t="shared" si="0"/>
        <v>48</v>
      </c>
      <c r="E32" s="2">
        <v>4</v>
      </c>
      <c r="F32" s="2">
        <v>4</v>
      </c>
      <c r="G32" s="2">
        <v>4</v>
      </c>
      <c r="H32" s="2">
        <v>4</v>
      </c>
      <c r="I32" s="2">
        <v>4</v>
      </c>
      <c r="J32" s="2">
        <v>4</v>
      </c>
      <c r="K32" s="2">
        <v>4</v>
      </c>
      <c r="L32" s="2">
        <v>2</v>
      </c>
      <c r="M32" s="2">
        <v>4</v>
      </c>
      <c r="N32" s="2">
        <v>2</v>
      </c>
      <c r="O32" s="2">
        <v>4</v>
      </c>
      <c r="P32" s="2">
        <v>2</v>
      </c>
      <c r="Q32" s="2">
        <v>4</v>
      </c>
      <c r="R32" s="2">
        <v>2</v>
      </c>
      <c r="S32" s="3">
        <v>45946</v>
      </c>
      <c r="T32" s="2" t="s">
        <v>25</v>
      </c>
      <c r="U32" s="2" t="s">
        <v>23</v>
      </c>
    </row>
    <row r="33" spans="1:21" x14ac:dyDescent="0.25">
      <c r="A33" s="1" t="s">
        <v>34</v>
      </c>
      <c r="B33" s="2">
        <v>392</v>
      </c>
      <c r="C33" s="2" t="s">
        <v>30</v>
      </c>
      <c r="D33" s="17">
        <f t="shared" si="0"/>
        <v>48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2</v>
      </c>
      <c r="M33" s="2">
        <v>4</v>
      </c>
      <c r="N33" s="2">
        <v>2</v>
      </c>
      <c r="O33" s="2">
        <v>4</v>
      </c>
      <c r="P33" s="2">
        <v>2</v>
      </c>
      <c r="Q33" s="2">
        <v>4</v>
      </c>
      <c r="R33" s="2">
        <v>2</v>
      </c>
      <c r="S33" s="3">
        <v>45946</v>
      </c>
      <c r="T33" s="2" t="s">
        <v>25</v>
      </c>
      <c r="U33" s="2" t="s">
        <v>23</v>
      </c>
    </row>
    <row r="34" spans="1:21" x14ac:dyDescent="0.25">
      <c r="A34" s="1" t="s">
        <v>34</v>
      </c>
      <c r="B34" s="2">
        <v>393</v>
      </c>
      <c r="C34" s="2">
        <v>9201</v>
      </c>
      <c r="D34" s="17">
        <f t="shared" si="0"/>
        <v>12</v>
      </c>
      <c r="E34" s="2"/>
      <c r="F34" s="2"/>
      <c r="G34" s="2"/>
      <c r="H34" s="2"/>
      <c r="I34" s="2"/>
      <c r="J34" s="2"/>
      <c r="K34" s="2">
        <v>2</v>
      </c>
      <c r="L34" s="2"/>
      <c r="M34" s="2">
        <v>3</v>
      </c>
      <c r="N34" s="2">
        <v>2</v>
      </c>
      <c r="O34" s="2">
        <v>2</v>
      </c>
      <c r="P34" s="2"/>
      <c r="Q34" s="2"/>
      <c r="R34" s="2">
        <v>3</v>
      </c>
      <c r="S34" s="3">
        <v>45946</v>
      </c>
      <c r="T34" s="2" t="s">
        <v>25</v>
      </c>
      <c r="U34" s="2"/>
    </row>
    <row r="35" spans="1:21" x14ac:dyDescent="0.25">
      <c r="A35" s="1" t="s">
        <v>34</v>
      </c>
      <c r="B35" s="2">
        <v>394</v>
      </c>
      <c r="C35" s="2">
        <v>9202</v>
      </c>
      <c r="D35" s="17">
        <f t="shared" si="0"/>
        <v>12</v>
      </c>
      <c r="E35" s="2">
        <v>2</v>
      </c>
      <c r="F35" s="2">
        <v>2</v>
      </c>
      <c r="G35" s="2">
        <v>2</v>
      </c>
      <c r="H35" s="2">
        <v>2</v>
      </c>
      <c r="I35" s="2">
        <v>2</v>
      </c>
      <c r="J35" s="2">
        <v>2</v>
      </c>
      <c r="K35" s="2"/>
      <c r="L35" s="2"/>
      <c r="M35" s="2"/>
      <c r="N35" s="2"/>
      <c r="O35" s="2"/>
      <c r="P35" s="2"/>
      <c r="Q35" s="2"/>
      <c r="R35" s="2"/>
      <c r="S35" s="3">
        <v>45946</v>
      </c>
      <c r="T35" s="2" t="s">
        <v>25</v>
      </c>
      <c r="U35" s="2"/>
    </row>
    <row r="36" spans="1:21" x14ac:dyDescent="0.25">
      <c r="A36" s="1" t="s">
        <v>34</v>
      </c>
      <c r="B36" s="2">
        <v>395</v>
      </c>
      <c r="C36" s="2" t="s">
        <v>30</v>
      </c>
      <c r="D36" s="17">
        <f t="shared" si="0"/>
        <v>12</v>
      </c>
      <c r="E36" s="2"/>
      <c r="F36" s="2"/>
      <c r="G36" s="2"/>
      <c r="H36" s="2"/>
      <c r="I36" s="2"/>
      <c r="J36" s="2"/>
      <c r="K36" s="2">
        <v>2</v>
      </c>
      <c r="L36" s="2">
        <v>1</v>
      </c>
      <c r="M36" s="2">
        <v>2</v>
      </c>
      <c r="N36" s="2">
        <v>1</v>
      </c>
      <c r="O36" s="2">
        <v>2</v>
      </c>
      <c r="P36" s="2">
        <v>1</v>
      </c>
      <c r="Q36" s="2">
        <v>2</v>
      </c>
      <c r="R36" s="2">
        <v>1</v>
      </c>
      <c r="S36" s="3">
        <v>45946</v>
      </c>
      <c r="T36" s="2" t="s">
        <v>25</v>
      </c>
      <c r="U36" s="2"/>
    </row>
    <row r="37" spans="1:21" x14ac:dyDescent="0.25">
      <c r="A37" s="1" t="s">
        <v>34</v>
      </c>
      <c r="B37" s="2">
        <v>396</v>
      </c>
      <c r="C37" s="2">
        <v>9205</v>
      </c>
      <c r="D37" s="17">
        <f t="shared" si="0"/>
        <v>24</v>
      </c>
      <c r="E37" s="2">
        <v>2</v>
      </c>
      <c r="F37" s="2">
        <v>2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1</v>
      </c>
      <c r="M37" s="2">
        <v>2</v>
      </c>
      <c r="N37" s="2">
        <v>1</v>
      </c>
      <c r="O37" s="2">
        <v>2</v>
      </c>
      <c r="P37" s="2">
        <v>1</v>
      </c>
      <c r="Q37" s="2">
        <v>2</v>
      </c>
      <c r="R37" s="2">
        <v>1</v>
      </c>
      <c r="S37" s="3">
        <v>45946</v>
      </c>
      <c r="T37" s="2" t="s">
        <v>25</v>
      </c>
      <c r="U37" s="2" t="s">
        <v>23</v>
      </c>
    </row>
    <row r="38" spans="1:21" x14ac:dyDescent="0.25">
      <c r="A38" s="1" t="s">
        <v>34</v>
      </c>
      <c r="B38" s="2">
        <v>397</v>
      </c>
      <c r="C38" s="2">
        <v>9210</v>
      </c>
      <c r="D38" s="17">
        <f t="shared" si="0"/>
        <v>24</v>
      </c>
      <c r="E38" s="2">
        <v>2</v>
      </c>
      <c r="F38" s="2">
        <v>2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1</v>
      </c>
      <c r="M38" s="2">
        <v>2</v>
      </c>
      <c r="N38" s="2">
        <v>1</v>
      </c>
      <c r="O38" s="2">
        <v>2</v>
      </c>
      <c r="P38" s="2">
        <v>1</v>
      </c>
      <c r="Q38" s="2">
        <v>2</v>
      </c>
      <c r="R38" s="2">
        <v>1</v>
      </c>
      <c r="S38" s="3">
        <v>45946</v>
      </c>
      <c r="T38" s="2"/>
      <c r="U38" s="2"/>
    </row>
    <row r="39" spans="1:21" x14ac:dyDescent="0.25">
      <c r="A39" s="1" t="s">
        <v>34</v>
      </c>
      <c r="B39" s="2">
        <v>398</v>
      </c>
      <c r="C39" s="2">
        <v>9209</v>
      </c>
      <c r="D39" s="17">
        <f t="shared" si="0"/>
        <v>24</v>
      </c>
      <c r="E39" s="2">
        <v>2</v>
      </c>
      <c r="F39" s="2">
        <v>2</v>
      </c>
      <c r="G39" s="2">
        <v>2</v>
      </c>
      <c r="H39" s="2">
        <v>2</v>
      </c>
      <c r="I39" s="2">
        <v>2</v>
      </c>
      <c r="J39" s="2">
        <v>2</v>
      </c>
      <c r="K39" s="2">
        <v>2</v>
      </c>
      <c r="L39" s="2">
        <v>1</v>
      </c>
      <c r="M39" s="2">
        <v>2</v>
      </c>
      <c r="N39" s="2">
        <v>1</v>
      </c>
      <c r="O39" s="2">
        <v>2</v>
      </c>
      <c r="P39" s="2">
        <v>1</v>
      </c>
      <c r="Q39" s="2">
        <v>2</v>
      </c>
      <c r="R39" s="2">
        <v>1</v>
      </c>
      <c r="S39" s="3">
        <v>45946</v>
      </c>
      <c r="T39" s="2" t="s">
        <v>25</v>
      </c>
      <c r="U39" s="2" t="s">
        <v>23</v>
      </c>
    </row>
    <row r="40" spans="1:21" x14ac:dyDescent="0.25">
      <c r="A40" s="1" t="s">
        <v>34</v>
      </c>
      <c r="B40" s="2">
        <v>399</v>
      </c>
      <c r="C40" s="2">
        <v>9205</v>
      </c>
      <c r="D40" s="17">
        <f t="shared" si="0"/>
        <v>24</v>
      </c>
      <c r="E40" s="2">
        <v>2</v>
      </c>
      <c r="F40" s="2">
        <v>2</v>
      </c>
      <c r="G40" s="2">
        <v>2</v>
      </c>
      <c r="H40" s="2">
        <v>2</v>
      </c>
      <c r="I40" s="2">
        <v>2</v>
      </c>
      <c r="J40" s="2">
        <v>2</v>
      </c>
      <c r="K40" s="2">
        <v>2</v>
      </c>
      <c r="L40" s="2">
        <v>1</v>
      </c>
      <c r="M40" s="2">
        <v>2</v>
      </c>
      <c r="N40" s="2">
        <v>1</v>
      </c>
      <c r="O40" s="2">
        <v>2</v>
      </c>
      <c r="P40" s="2">
        <v>1</v>
      </c>
      <c r="Q40" s="2">
        <v>2</v>
      </c>
      <c r="R40" s="2">
        <v>1</v>
      </c>
      <c r="S40" s="3">
        <v>45946</v>
      </c>
      <c r="T40" s="2" t="s">
        <v>25</v>
      </c>
      <c r="U40" s="2" t="s">
        <v>23</v>
      </c>
    </row>
    <row r="41" spans="1:21" x14ac:dyDescent="0.25">
      <c r="A41" s="1" t="s">
        <v>34</v>
      </c>
      <c r="B41" s="2">
        <v>400</v>
      </c>
      <c r="C41" s="2">
        <v>9205</v>
      </c>
      <c r="D41" s="17">
        <f t="shared" si="0"/>
        <v>24</v>
      </c>
      <c r="E41" s="2">
        <v>2</v>
      </c>
      <c r="F41" s="2">
        <v>2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>
        <v>1</v>
      </c>
      <c r="M41" s="2">
        <v>2</v>
      </c>
      <c r="N41" s="2">
        <v>1</v>
      </c>
      <c r="O41" s="2">
        <v>2</v>
      </c>
      <c r="P41" s="2">
        <v>1</v>
      </c>
      <c r="Q41" s="2">
        <v>2</v>
      </c>
      <c r="R41" s="2">
        <v>1</v>
      </c>
      <c r="S41" s="3">
        <v>45946</v>
      </c>
      <c r="T41" s="2" t="s">
        <v>25</v>
      </c>
      <c r="U41" s="2" t="s">
        <v>23</v>
      </c>
    </row>
    <row r="42" spans="1:21" x14ac:dyDescent="0.25">
      <c r="A42" s="1" t="s">
        <v>34</v>
      </c>
      <c r="B42" s="2">
        <v>401</v>
      </c>
      <c r="C42" s="2">
        <v>9231</v>
      </c>
      <c r="D42" s="17">
        <f t="shared" si="0"/>
        <v>48</v>
      </c>
      <c r="E42" s="2">
        <v>8</v>
      </c>
      <c r="F42" s="2">
        <v>8</v>
      </c>
      <c r="G42" s="2">
        <v>8</v>
      </c>
      <c r="H42" s="2">
        <v>8</v>
      </c>
      <c r="I42" s="2">
        <v>8</v>
      </c>
      <c r="J42" s="2">
        <v>8</v>
      </c>
      <c r="K42" s="2"/>
      <c r="L42" s="2"/>
      <c r="M42" s="2"/>
      <c r="N42" s="2"/>
      <c r="O42" s="2"/>
      <c r="P42" s="2"/>
      <c r="Q42" s="2"/>
      <c r="R42" s="2"/>
      <c r="S42" s="3">
        <v>45946</v>
      </c>
      <c r="T42" s="2" t="s">
        <v>25</v>
      </c>
      <c r="U42" s="2" t="s">
        <v>23</v>
      </c>
    </row>
    <row r="43" spans="1:21" x14ac:dyDescent="0.25">
      <c r="A43" s="1" t="s">
        <v>35</v>
      </c>
      <c r="B43" s="2">
        <v>402</v>
      </c>
      <c r="C43" s="2">
        <v>9243</v>
      </c>
      <c r="D43" s="17">
        <f t="shared" si="0"/>
        <v>12</v>
      </c>
      <c r="E43" s="2"/>
      <c r="F43" s="2"/>
      <c r="G43" s="2"/>
      <c r="H43" s="2"/>
      <c r="I43" s="2"/>
      <c r="J43" s="2"/>
      <c r="K43" s="2">
        <v>3</v>
      </c>
      <c r="L43" s="2"/>
      <c r="M43" s="2">
        <v>3</v>
      </c>
      <c r="N43" s="2">
        <v>1</v>
      </c>
      <c r="O43" s="2">
        <v>3</v>
      </c>
      <c r="P43" s="2"/>
      <c r="Q43" s="2">
        <v>1</v>
      </c>
      <c r="R43" s="2">
        <v>1</v>
      </c>
      <c r="S43" s="3">
        <v>45946</v>
      </c>
      <c r="T43" s="2" t="s">
        <v>25</v>
      </c>
      <c r="U43" s="2" t="s">
        <v>23</v>
      </c>
    </row>
    <row r="44" spans="1:21" x14ac:dyDescent="0.25">
      <c r="A44" s="1" t="s">
        <v>36</v>
      </c>
      <c r="B44" s="2">
        <v>403</v>
      </c>
      <c r="C44" s="2">
        <v>9211</v>
      </c>
      <c r="D44" s="17">
        <f t="shared" si="0"/>
        <v>60</v>
      </c>
      <c r="E44" s="2"/>
      <c r="F44" s="2"/>
      <c r="G44" s="2"/>
      <c r="H44" s="2"/>
      <c r="I44" s="2"/>
      <c r="J44" s="2"/>
      <c r="K44" s="2">
        <v>18</v>
      </c>
      <c r="L44" s="2"/>
      <c r="M44" s="2">
        <v>12</v>
      </c>
      <c r="N44" s="2"/>
      <c r="O44" s="2">
        <v>12</v>
      </c>
      <c r="P44" s="2"/>
      <c r="Q44" s="2">
        <v>18</v>
      </c>
      <c r="R44" s="2"/>
      <c r="S44" s="3">
        <v>45946</v>
      </c>
      <c r="T44" s="2"/>
      <c r="U44" s="2" t="s">
        <v>23</v>
      </c>
    </row>
    <row r="45" spans="1:21" x14ac:dyDescent="0.25">
      <c r="A45" s="1" t="s">
        <v>35</v>
      </c>
      <c r="B45" s="2">
        <v>404</v>
      </c>
      <c r="C45" s="2">
        <v>9259</v>
      </c>
      <c r="D45" s="17">
        <f t="shared" si="0"/>
        <v>12</v>
      </c>
      <c r="E45" s="2"/>
      <c r="F45" s="2"/>
      <c r="G45" s="2"/>
      <c r="H45" s="2"/>
      <c r="I45" s="2"/>
      <c r="J45" s="2"/>
      <c r="K45" s="2">
        <v>3</v>
      </c>
      <c r="L45" s="2"/>
      <c r="M45" s="2">
        <v>3</v>
      </c>
      <c r="N45" s="2">
        <v>1</v>
      </c>
      <c r="O45" s="2">
        <v>3</v>
      </c>
      <c r="P45" s="2"/>
      <c r="Q45" s="2">
        <v>1</v>
      </c>
      <c r="R45" s="2">
        <v>1</v>
      </c>
      <c r="S45" s="3">
        <v>45946</v>
      </c>
      <c r="T45" s="2" t="s">
        <v>25</v>
      </c>
      <c r="U45" s="2" t="s">
        <v>23</v>
      </c>
    </row>
    <row r="46" spans="1:21" x14ac:dyDescent="0.25">
      <c r="A46" s="1" t="s">
        <v>35</v>
      </c>
      <c r="B46" s="2">
        <v>405</v>
      </c>
      <c r="C46" s="2">
        <v>9245</v>
      </c>
      <c r="D46" s="17">
        <f t="shared" si="0"/>
        <v>12</v>
      </c>
      <c r="E46" s="2"/>
      <c r="F46" s="2"/>
      <c r="G46" s="2"/>
      <c r="H46" s="2"/>
      <c r="I46" s="2"/>
      <c r="J46" s="2"/>
      <c r="K46" s="2">
        <v>3</v>
      </c>
      <c r="L46" s="2"/>
      <c r="M46" s="2">
        <v>3</v>
      </c>
      <c r="N46" s="2">
        <v>1</v>
      </c>
      <c r="O46" s="2">
        <v>3</v>
      </c>
      <c r="P46" s="2"/>
      <c r="Q46" s="2">
        <v>1</v>
      </c>
      <c r="R46" s="2">
        <v>1</v>
      </c>
      <c r="S46" s="3">
        <v>45946</v>
      </c>
      <c r="T46" s="2" t="s">
        <v>25</v>
      </c>
      <c r="U46" s="2" t="s">
        <v>23</v>
      </c>
    </row>
    <row r="47" spans="1:21" x14ac:dyDescent="0.25">
      <c r="A47" s="1" t="s">
        <v>37</v>
      </c>
      <c r="B47" s="2">
        <v>406</v>
      </c>
      <c r="C47" s="2">
        <v>9242</v>
      </c>
      <c r="D47" s="17">
        <f t="shared" si="0"/>
        <v>24</v>
      </c>
      <c r="E47" s="2">
        <v>2</v>
      </c>
      <c r="F47" s="2">
        <v>2</v>
      </c>
      <c r="G47" s="2">
        <v>2</v>
      </c>
      <c r="H47" s="2">
        <v>2</v>
      </c>
      <c r="I47" s="2">
        <v>2</v>
      </c>
      <c r="J47" s="2">
        <v>2</v>
      </c>
      <c r="K47" s="2">
        <v>2</v>
      </c>
      <c r="L47" s="2">
        <v>1</v>
      </c>
      <c r="M47" s="2">
        <v>2</v>
      </c>
      <c r="N47" s="2">
        <v>1</v>
      </c>
      <c r="O47" s="2">
        <v>2</v>
      </c>
      <c r="P47" s="2">
        <v>1</v>
      </c>
      <c r="Q47" s="2">
        <v>2</v>
      </c>
      <c r="R47" s="2">
        <v>1</v>
      </c>
      <c r="S47" s="3">
        <v>45946</v>
      </c>
      <c r="T47" s="2" t="s">
        <v>25</v>
      </c>
      <c r="U47" s="2" t="s">
        <v>23</v>
      </c>
    </row>
    <row r="48" spans="1:21" x14ac:dyDescent="0.25">
      <c r="A48" s="1" t="s">
        <v>37</v>
      </c>
      <c r="B48" s="2">
        <v>407</v>
      </c>
      <c r="C48" s="2">
        <v>9232</v>
      </c>
      <c r="D48" s="17">
        <f t="shared" si="0"/>
        <v>24</v>
      </c>
      <c r="E48" s="2">
        <v>2</v>
      </c>
      <c r="F48" s="2">
        <v>2</v>
      </c>
      <c r="G48" s="2">
        <v>2</v>
      </c>
      <c r="H48" s="2">
        <v>2</v>
      </c>
      <c r="I48" s="2">
        <v>2</v>
      </c>
      <c r="J48" s="2">
        <v>2</v>
      </c>
      <c r="K48" s="2">
        <v>2</v>
      </c>
      <c r="L48" s="2">
        <v>1</v>
      </c>
      <c r="M48" s="2">
        <v>2</v>
      </c>
      <c r="N48" s="2">
        <v>1</v>
      </c>
      <c r="O48" s="2">
        <v>2</v>
      </c>
      <c r="P48" s="2">
        <v>1</v>
      </c>
      <c r="Q48" s="2">
        <v>2</v>
      </c>
      <c r="R48" s="2">
        <v>1</v>
      </c>
      <c r="S48" s="3">
        <v>45946</v>
      </c>
      <c r="T48" s="2" t="s">
        <v>25</v>
      </c>
      <c r="U48" s="2" t="s">
        <v>23</v>
      </c>
    </row>
    <row r="49" spans="1:21" x14ac:dyDescent="0.25">
      <c r="A49" s="1" t="s">
        <v>37</v>
      </c>
      <c r="B49" s="2">
        <v>408</v>
      </c>
      <c r="C49" s="2">
        <v>9246</v>
      </c>
      <c r="D49" s="17">
        <f t="shared" si="0"/>
        <v>24</v>
      </c>
      <c r="E49" s="2">
        <v>2</v>
      </c>
      <c r="F49" s="2">
        <v>2</v>
      </c>
      <c r="G49" s="2">
        <v>2</v>
      </c>
      <c r="H49" s="2">
        <v>2</v>
      </c>
      <c r="I49" s="2">
        <v>2</v>
      </c>
      <c r="J49" s="2">
        <v>2</v>
      </c>
      <c r="K49" s="2">
        <v>2</v>
      </c>
      <c r="L49" s="2">
        <v>1</v>
      </c>
      <c r="M49" s="2">
        <v>2</v>
      </c>
      <c r="N49" s="2">
        <v>1</v>
      </c>
      <c r="O49" s="2">
        <v>2</v>
      </c>
      <c r="P49" s="2">
        <v>1</v>
      </c>
      <c r="Q49" s="2">
        <v>2</v>
      </c>
      <c r="R49" s="2">
        <v>1</v>
      </c>
      <c r="S49" s="3">
        <v>45946</v>
      </c>
      <c r="T49" s="2" t="s">
        <v>25</v>
      </c>
      <c r="U49" s="2" t="s">
        <v>23</v>
      </c>
    </row>
    <row r="50" spans="1:21" x14ac:dyDescent="0.25">
      <c r="A50" s="1" t="s">
        <v>37</v>
      </c>
      <c r="B50" s="2">
        <v>409</v>
      </c>
      <c r="C50" s="2">
        <v>9260</v>
      </c>
      <c r="D50" s="17">
        <f t="shared" si="0"/>
        <v>24</v>
      </c>
      <c r="E50" s="2">
        <v>2</v>
      </c>
      <c r="F50" s="2">
        <v>2</v>
      </c>
      <c r="G50" s="2">
        <v>2</v>
      </c>
      <c r="H50" s="2">
        <v>2</v>
      </c>
      <c r="I50" s="2">
        <v>2</v>
      </c>
      <c r="J50" s="2">
        <v>2</v>
      </c>
      <c r="K50" s="2">
        <v>2</v>
      </c>
      <c r="L50" s="2">
        <v>1</v>
      </c>
      <c r="M50" s="2">
        <v>2</v>
      </c>
      <c r="N50" s="2">
        <v>1</v>
      </c>
      <c r="O50" s="2">
        <v>2</v>
      </c>
      <c r="P50" s="2">
        <v>1</v>
      </c>
      <c r="Q50" s="2">
        <v>2</v>
      </c>
      <c r="R50" s="2">
        <v>1</v>
      </c>
      <c r="S50" s="3">
        <v>45946</v>
      </c>
      <c r="T50" s="2" t="s">
        <v>25</v>
      </c>
      <c r="U50" s="2" t="s">
        <v>23</v>
      </c>
    </row>
    <row r="51" spans="1:21" x14ac:dyDescent="0.25">
      <c r="A51" s="1" t="s">
        <v>38</v>
      </c>
      <c r="B51" s="2">
        <v>410</v>
      </c>
      <c r="C51" s="2">
        <v>9205</v>
      </c>
      <c r="D51" s="17">
        <f t="shared" si="0"/>
        <v>60</v>
      </c>
      <c r="E51" s="2">
        <v>4</v>
      </c>
      <c r="F51" s="2">
        <v>4</v>
      </c>
      <c r="G51" s="2">
        <v>4</v>
      </c>
      <c r="H51" s="2">
        <v>4</v>
      </c>
      <c r="I51" s="2">
        <v>4</v>
      </c>
      <c r="J51" s="2">
        <v>4</v>
      </c>
      <c r="K51" s="2">
        <v>6</v>
      </c>
      <c r="L51" s="2">
        <v>3</v>
      </c>
      <c r="M51" s="2">
        <v>6</v>
      </c>
      <c r="N51" s="2">
        <v>3</v>
      </c>
      <c r="O51" s="2">
        <v>6</v>
      </c>
      <c r="P51" s="2">
        <v>3</v>
      </c>
      <c r="Q51" s="2">
        <v>6</v>
      </c>
      <c r="R51" s="2">
        <v>3</v>
      </c>
      <c r="S51" s="3">
        <v>45946</v>
      </c>
      <c r="T51" s="2"/>
      <c r="U51" s="2"/>
    </row>
    <row r="52" spans="1:21" x14ac:dyDescent="0.25">
      <c r="A52" s="1" t="s">
        <v>38</v>
      </c>
      <c r="B52" s="2">
        <v>411</v>
      </c>
      <c r="C52" s="2">
        <v>9205</v>
      </c>
      <c r="D52" s="17">
        <f t="shared" si="0"/>
        <v>60</v>
      </c>
      <c r="E52" s="2">
        <v>4</v>
      </c>
      <c r="F52" s="2">
        <v>4</v>
      </c>
      <c r="G52" s="2">
        <v>4</v>
      </c>
      <c r="H52" s="2">
        <v>4</v>
      </c>
      <c r="I52" s="2">
        <v>4</v>
      </c>
      <c r="J52" s="2">
        <v>4</v>
      </c>
      <c r="K52" s="2">
        <v>6</v>
      </c>
      <c r="L52" s="2">
        <v>3</v>
      </c>
      <c r="M52" s="2">
        <v>6</v>
      </c>
      <c r="N52" s="2">
        <v>3</v>
      </c>
      <c r="O52" s="2">
        <v>6</v>
      </c>
      <c r="P52" s="2">
        <v>3</v>
      </c>
      <c r="Q52" s="2">
        <v>6</v>
      </c>
      <c r="R52" s="2">
        <v>3</v>
      </c>
      <c r="S52" s="3">
        <v>45946</v>
      </c>
      <c r="T52" s="2" t="s">
        <v>25</v>
      </c>
      <c r="U52" s="2"/>
    </row>
    <row r="53" spans="1:21" x14ac:dyDescent="0.25">
      <c r="A53" s="1" t="s">
        <v>38</v>
      </c>
      <c r="B53" s="2">
        <v>412</v>
      </c>
      <c r="C53" s="2">
        <v>9220</v>
      </c>
      <c r="D53" s="17">
        <f t="shared" si="0"/>
        <v>60</v>
      </c>
      <c r="E53" s="2">
        <v>4</v>
      </c>
      <c r="F53" s="2">
        <v>4</v>
      </c>
      <c r="G53" s="2">
        <v>4</v>
      </c>
      <c r="H53" s="2">
        <v>4</v>
      </c>
      <c r="I53" s="2">
        <v>4</v>
      </c>
      <c r="J53" s="2">
        <v>4</v>
      </c>
      <c r="K53" s="2">
        <v>6</v>
      </c>
      <c r="L53" s="2">
        <v>3</v>
      </c>
      <c r="M53" s="2">
        <v>6</v>
      </c>
      <c r="N53" s="2">
        <v>3</v>
      </c>
      <c r="O53" s="2">
        <v>6</v>
      </c>
      <c r="P53" s="2">
        <v>3</v>
      </c>
      <c r="Q53" s="2">
        <v>6</v>
      </c>
      <c r="R53" s="2">
        <v>3</v>
      </c>
      <c r="S53" s="3">
        <v>45946</v>
      </c>
      <c r="T53" s="2" t="s">
        <v>24</v>
      </c>
      <c r="U53" s="2" t="s">
        <v>23</v>
      </c>
    </row>
    <row r="54" spans="1:21" x14ac:dyDescent="0.25">
      <c r="A54" s="1" t="s">
        <v>38</v>
      </c>
      <c r="B54" s="2">
        <v>413</v>
      </c>
      <c r="C54" s="2">
        <v>9220</v>
      </c>
      <c r="D54" s="17">
        <f t="shared" si="0"/>
        <v>60</v>
      </c>
      <c r="E54" s="2">
        <v>4</v>
      </c>
      <c r="F54" s="2">
        <v>4</v>
      </c>
      <c r="G54" s="2">
        <v>4</v>
      </c>
      <c r="H54" s="2">
        <v>4</v>
      </c>
      <c r="I54" s="2">
        <v>4</v>
      </c>
      <c r="J54" s="2">
        <v>4</v>
      </c>
      <c r="K54" s="2">
        <v>6</v>
      </c>
      <c r="L54" s="2">
        <v>3</v>
      </c>
      <c r="M54" s="2">
        <v>6</v>
      </c>
      <c r="N54" s="2">
        <v>3</v>
      </c>
      <c r="O54" s="2">
        <v>6</v>
      </c>
      <c r="P54" s="2">
        <v>3</v>
      </c>
      <c r="Q54" s="2">
        <v>6</v>
      </c>
      <c r="R54" s="2">
        <v>3</v>
      </c>
      <c r="S54" s="3">
        <v>45946</v>
      </c>
      <c r="T54" s="2" t="s">
        <v>24</v>
      </c>
      <c r="U54" s="2"/>
    </row>
    <row r="55" spans="1:21" x14ac:dyDescent="0.25">
      <c r="A55" s="1" t="s">
        <v>38</v>
      </c>
      <c r="B55" s="2">
        <v>414</v>
      </c>
      <c r="C55" s="2">
        <v>9211</v>
      </c>
      <c r="D55" s="17">
        <f t="shared" si="0"/>
        <v>60</v>
      </c>
      <c r="E55" s="2">
        <v>4</v>
      </c>
      <c r="F55" s="2">
        <v>4</v>
      </c>
      <c r="G55" s="2">
        <v>4</v>
      </c>
      <c r="H55" s="2">
        <v>4</v>
      </c>
      <c r="I55" s="2">
        <v>4</v>
      </c>
      <c r="J55" s="2">
        <v>4</v>
      </c>
      <c r="K55" s="2">
        <v>6</v>
      </c>
      <c r="L55" s="2">
        <v>3</v>
      </c>
      <c r="M55" s="2">
        <v>6</v>
      </c>
      <c r="N55" s="2">
        <v>3</v>
      </c>
      <c r="O55" s="2">
        <v>6</v>
      </c>
      <c r="P55" s="2">
        <v>3</v>
      </c>
      <c r="Q55" s="2">
        <v>6</v>
      </c>
      <c r="R55" s="2">
        <v>3</v>
      </c>
      <c r="S55" s="3">
        <v>45946</v>
      </c>
      <c r="T55" s="2" t="s">
        <v>24</v>
      </c>
      <c r="U55" s="2"/>
    </row>
    <row r="56" spans="1:21" x14ac:dyDescent="0.25">
      <c r="B56" s="4"/>
      <c r="C56" s="4"/>
      <c r="D56" s="18">
        <f>SUM(D3:D55)</f>
        <v>1624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5">
      <c r="B57" s="4"/>
      <c r="C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</sheetData>
  <mergeCells count="4">
    <mergeCell ref="A1:D1"/>
    <mergeCell ref="E1:R1"/>
    <mergeCell ref="T1:U1"/>
    <mergeCell ref="S1:S2"/>
  </mergeCells>
  <pageMargins left="0.7" right="0.7" top="0.75" bottom="0.75" header="0.3" footer="0.3"/>
  <pageSetup paperSize="256" orientation="portrait" horizontalDpi="203" verticalDpi="203" r:id="rId1"/>
  <ignoredErrors>
    <ignoredError sqref="D3:D5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1"/>
  <sheetViews>
    <sheetView workbookViewId="0">
      <selection activeCell="D12" sqref="D12"/>
    </sheetView>
  </sheetViews>
  <sheetFormatPr defaultColWidth="11.42578125" defaultRowHeight="15" x14ac:dyDescent="0.25"/>
  <cols>
    <col min="1" max="1" width="16" customWidth="1"/>
    <col min="5" max="5" width="4.5703125" customWidth="1"/>
    <col min="6" max="6" width="5.140625" customWidth="1"/>
    <col min="7" max="7" width="4" customWidth="1"/>
    <col min="8" max="8" width="5" customWidth="1"/>
    <col min="9" max="9" width="4.28515625" customWidth="1"/>
    <col min="10" max="11" width="4.7109375" customWidth="1"/>
    <col min="12" max="12" width="5" customWidth="1"/>
    <col min="13" max="13" width="4.28515625" customWidth="1"/>
    <col min="14" max="14" width="5" customWidth="1"/>
    <col min="15" max="15" width="4.42578125" customWidth="1"/>
    <col min="16" max="16" width="5.28515625" customWidth="1"/>
    <col min="17" max="17" width="4.5703125" customWidth="1"/>
    <col min="18" max="18" width="6" customWidth="1"/>
    <col min="19" max="19" width="17.7109375" customWidth="1"/>
    <col min="20" max="20" width="13.85546875" customWidth="1"/>
    <col min="21" max="21" width="14.140625" customWidth="1"/>
  </cols>
  <sheetData>
    <row r="1" spans="1:21" ht="18.75" x14ac:dyDescent="0.25">
      <c r="A1" s="63" t="s">
        <v>41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6" t="s">
        <v>0</v>
      </c>
      <c r="B2" s="6" t="s">
        <v>1</v>
      </c>
      <c r="C2" s="6" t="s">
        <v>3</v>
      </c>
      <c r="D2" s="12" t="s">
        <v>2</v>
      </c>
      <c r="E2" s="6">
        <v>15</v>
      </c>
      <c r="F2" s="6">
        <v>15.5</v>
      </c>
      <c r="G2" s="6">
        <v>16</v>
      </c>
      <c r="H2" s="6">
        <v>16.5</v>
      </c>
      <c r="I2" s="6">
        <v>17</v>
      </c>
      <c r="J2" s="6">
        <v>17.5</v>
      </c>
      <c r="K2" s="6">
        <v>18</v>
      </c>
      <c r="L2" s="6">
        <v>18.5</v>
      </c>
      <c r="M2" s="6">
        <v>19</v>
      </c>
      <c r="N2" s="6">
        <v>19.5</v>
      </c>
      <c r="O2" s="6">
        <v>20</v>
      </c>
      <c r="P2" s="6">
        <v>20.5</v>
      </c>
      <c r="Q2" s="6">
        <v>21</v>
      </c>
      <c r="R2" s="6">
        <v>21.5</v>
      </c>
      <c r="S2" s="65"/>
      <c r="T2" s="6" t="s">
        <v>9</v>
      </c>
      <c r="U2" s="6" t="s">
        <v>10</v>
      </c>
    </row>
    <row r="3" spans="1:21" x14ac:dyDescent="0.25">
      <c r="A3" s="1" t="s">
        <v>39</v>
      </c>
      <c r="B3" s="2">
        <v>423</v>
      </c>
      <c r="C3" s="2">
        <v>9259</v>
      </c>
      <c r="D3" s="17">
        <f t="shared" ref="D3:D10" si="0">SUM(E3:R3)</f>
        <v>15</v>
      </c>
      <c r="E3" s="2">
        <v>1</v>
      </c>
      <c r="F3" s="2"/>
      <c r="G3" s="2">
        <v>2</v>
      </c>
      <c r="H3" s="2"/>
      <c r="I3" s="2">
        <v>2</v>
      </c>
      <c r="J3" s="2"/>
      <c r="K3" s="2">
        <v>3</v>
      </c>
      <c r="L3" s="2"/>
      <c r="M3" s="2">
        <v>3</v>
      </c>
      <c r="N3" s="2"/>
      <c r="O3" s="2">
        <v>2</v>
      </c>
      <c r="P3" s="2"/>
      <c r="Q3" s="2">
        <v>1</v>
      </c>
      <c r="R3" s="2">
        <v>1</v>
      </c>
      <c r="S3" s="3">
        <v>45951</v>
      </c>
      <c r="T3" s="2" t="s">
        <v>23</v>
      </c>
      <c r="U3" s="2" t="s">
        <v>23</v>
      </c>
    </row>
    <row r="4" spans="1:21" x14ac:dyDescent="0.25">
      <c r="A4" s="1" t="s">
        <v>39</v>
      </c>
      <c r="B4" s="2">
        <v>424</v>
      </c>
      <c r="C4" s="2">
        <v>9248</v>
      </c>
      <c r="D4" s="17">
        <f t="shared" si="0"/>
        <v>15</v>
      </c>
      <c r="E4" s="2">
        <v>1</v>
      </c>
      <c r="F4" s="2"/>
      <c r="G4" s="2">
        <v>2</v>
      </c>
      <c r="H4" s="2"/>
      <c r="I4" s="2">
        <v>2</v>
      </c>
      <c r="J4" s="2"/>
      <c r="K4" s="2">
        <v>3</v>
      </c>
      <c r="L4" s="2"/>
      <c r="M4" s="2">
        <v>3</v>
      </c>
      <c r="N4" s="2"/>
      <c r="O4" s="2">
        <v>2</v>
      </c>
      <c r="P4" s="2"/>
      <c r="Q4" s="2">
        <v>1</v>
      </c>
      <c r="R4" s="2">
        <v>1</v>
      </c>
      <c r="S4" s="3">
        <v>45951</v>
      </c>
      <c r="T4" s="2" t="s">
        <v>25</v>
      </c>
      <c r="U4" s="2" t="s">
        <v>23</v>
      </c>
    </row>
    <row r="5" spans="1:21" x14ac:dyDescent="0.25">
      <c r="A5" s="1" t="s">
        <v>39</v>
      </c>
      <c r="B5" s="2">
        <v>425</v>
      </c>
      <c r="C5" s="2">
        <v>9264</v>
      </c>
      <c r="D5" s="17">
        <f t="shared" si="0"/>
        <v>15</v>
      </c>
      <c r="E5" s="2">
        <v>1</v>
      </c>
      <c r="F5" s="2"/>
      <c r="G5" s="2">
        <v>2</v>
      </c>
      <c r="H5" s="2"/>
      <c r="I5" s="2">
        <v>2</v>
      </c>
      <c r="J5" s="2"/>
      <c r="K5" s="2">
        <v>3</v>
      </c>
      <c r="L5" s="2"/>
      <c r="M5" s="2">
        <v>3</v>
      </c>
      <c r="N5" s="2"/>
      <c r="O5" s="2">
        <v>2</v>
      </c>
      <c r="P5" s="2"/>
      <c r="Q5" s="2">
        <v>1</v>
      </c>
      <c r="R5" s="2">
        <v>1</v>
      </c>
      <c r="S5" s="3">
        <v>45951</v>
      </c>
      <c r="T5" s="2" t="s">
        <v>23</v>
      </c>
      <c r="U5" s="2" t="s">
        <v>23</v>
      </c>
    </row>
    <row r="6" spans="1:21" x14ac:dyDescent="0.25">
      <c r="A6" s="1" t="s">
        <v>39</v>
      </c>
      <c r="B6" s="2">
        <v>426</v>
      </c>
      <c r="C6" s="2">
        <v>9232</v>
      </c>
      <c r="D6" s="17">
        <f t="shared" si="0"/>
        <v>15</v>
      </c>
      <c r="E6" s="2">
        <v>1</v>
      </c>
      <c r="F6" s="2"/>
      <c r="G6" s="2">
        <v>2</v>
      </c>
      <c r="H6" s="2"/>
      <c r="I6" s="2">
        <v>2</v>
      </c>
      <c r="J6" s="2"/>
      <c r="K6" s="2">
        <v>3</v>
      </c>
      <c r="L6" s="2"/>
      <c r="M6" s="2">
        <v>3</v>
      </c>
      <c r="N6" s="2"/>
      <c r="O6" s="2">
        <v>2</v>
      </c>
      <c r="P6" s="2"/>
      <c r="Q6" s="2">
        <v>1</v>
      </c>
      <c r="R6" s="2">
        <v>1</v>
      </c>
      <c r="S6" s="3">
        <v>45951</v>
      </c>
      <c r="T6" s="2" t="s">
        <v>25</v>
      </c>
      <c r="U6" s="2" t="s">
        <v>23</v>
      </c>
    </row>
    <row r="7" spans="1:21" x14ac:dyDescent="0.25">
      <c r="A7" s="7" t="s">
        <v>40</v>
      </c>
      <c r="B7" s="2">
        <v>430</v>
      </c>
      <c r="C7" s="2">
        <v>9218</v>
      </c>
      <c r="D7" s="17">
        <f t="shared" si="0"/>
        <v>168</v>
      </c>
      <c r="E7" s="2">
        <v>14</v>
      </c>
      <c r="F7" s="2">
        <v>14</v>
      </c>
      <c r="G7" s="2">
        <v>14</v>
      </c>
      <c r="H7" s="2">
        <v>14</v>
      </c>
      <c r="I7" s="2">
        <v>14</v>
      </c>
      <c r="J7" s="2">
        <v>14</v>
      </c>
      <c r="K7" s="2">
        <v>14</v>
      </c>
      <c r="L7" s="2">
        <v>7</v>
      </c>
      <c r="M7" s="2">
        <v>14</v>
      </c>
      <c r="N7" s="2">
        <v>7</v>
      </c>
      <c r="O7" s="2">
        <v>14</v>
      </c>
      <c r="P7" s="2">
        <v>7</v>
      </c>
      <c r="Q7" s="2">
        <v>14</v>
      </c>
      <c r="R7" s="2">
        <v>7</v>
      </c>
      <c r="S7" s="3">
        <v>45954</v>
      </c>
      <c r="T7" s="2"/>
      <c r="U7" s="2" t="s">
        <v>53</v>
      </c>
    </row>
    <row r="8" spans="1:21" x14ac:dyDescent="0.25">
      <c r="A8" s="7" t="s">
        <v>40</v>
      </c>
      <c r="B8" s="2">
        <v>431</v>
      </c>
      <c r="C8" s="2">
        <v>9231</v>
      </c>
      <c r="D8" s="17">
        <f t="shared" si="0"/>
        <v>168</v>
      </c>
      <c r="E8" s="2">
        <v>14</v>
      </c>
      <c r="F8" s="2">
        <v>14</v>
      </c>
      <c r="G8" s="2">
        <v>14</v>
      </c>
      <c r="H8" s="2">
        <v>14</v>
      </c>
      <c r="I8" s="2">
        <v>14</v>
      </c>
      <c r="J8" s="2">
        <v>14</v>
      </c>
      <c r="K8" s="2">
        <v>14</v>
      </c>
      <c r="L8" s="2">
        <v>7</v>
      </c>
      <c r="M8" s="2">
        <v>14</v>
      </c>
      <c r="N8" s="2">
        <v>7</v>
      </c>
      <c r="O8" s="2">
        <v>14</v>
      </c>
      <c r="P8" s="2">
        <v>7</v>
      </c>
      <c r="Q8" s="2">
        <v>14</v>
      </c>
      <c r="R8" s="2">
        <v>7</v>
      </c>
      <c r="S8" s="3">
        <v>45954</v>
      </c>
      <c r="T8" s="2" t="s">
        <v>25</v>
      </c>
      <c r="U8" s="2"/>
    </row>
    <row r="9" spans="1:21" x14ac:dyDescent="0.25">
      <c r="A9" s="7" t="s">
        <v>40</v>
      </c>
      <c r="B9" s="2">
        <v>432</v>
      </c>
      <c r="C9" s="2">
        <v>9219</v>
      </c>
      <c r="D9" s="17">
        <f t="shared" si="0"/>
        <v>36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2</v>
      </c>
      <c r="L9" s="2">
        <v>2</v>
      </c>
      <c r="M9" s="2">
        <v>3</v>
      </c>
      <c r="N9" s="2">
        <v>1</v>
      </c>
      <c r="O9" s="2">
        <v>3</v>
      </c>
      <c r="P9" s="2">
        <v>2</v>
      </c>
      <c r="Q9" s="2">
        <v>3</v>
      </c>
      <c r="R9" s="2">
        <v>2</v>
      </c>
      <c r="S9" s="3">
        <v>45954</v>
      </c>
      <c r="T9" s="2" t="s">
        <v>25</v>
      </c>
      <c r="U9" s="2" t="s">
        <v>53</v>
      </c>
    </row>
    <row r="10" spans="1:21" x14ac:dyDescent="0.25">
      <c r="A10" s="7" t="s">
        <v>40</v>
      </c>
      <c r="B10" s="2">
        <v>433</v>
      </c>
      <c r="C10" s="2">
        <v>9219</v>
      </c>
      <c r="D10" s="17">
        <f t="shared" si="0"/>
        <v>24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1</v>
      </c>
      <c r="M10" s="2">
        <v>2</v>
      </c>
      <c r="N10" s="2">
        <v>1</v>
      </c>
      <c r="O10" s="2">
        <v>2</v>
      </c>
      <c r="P10" s="2">
        <v>1</v>
      </c>
      <c r="Q10" s="2">
        <v>2</v>
      </c>
      <c r="R10" s="2">
        <v>1</v>
      </c>
      <c r="S10" s="3">
        <v>45954</v>
      </c>
      <c r="T10" s="2" t="s">
        <v>25</v>
      </c>
      <c r="U10" s="2" t="s">
        <v>53</v>
      </c>
    </row>
    <row r="11" spans="1:21" x14ac:dyDescent="0.25">
      <c r="D11" s="17">
        <f>SUM(D3:D10)</f>
        <v>456</v>
      </c>
    </row>
  </sheetData>
  <mergeCells count="4">
    <mergeCell ref="A1:D1"/>
    <mergeCell ref="E1:R1"/>
    <mergeCell ref="T1:U1"/>
    <mergeCell ref="S1:S2"/>
  </mergeCells>
  <pageMargins left="0.7" right="0.7" top="0.75" bottom="0.75" header="0.3" footer="0.3"/>
  <pageSetup paperSize="256" orientation="portrait" horizontalDpi="203" verticalDpi="203" r:id="rId1"/>
  <ignoredErrors>
    <ignoredError sqref="D3:D1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0"/>
  <sheetViews>
    <sheetView topLeftCell="A19" workbookViewId="0">
      <selection activeCell="D26" sqref="D26:J26"/>
    </sheetView>
  </sheetViews>
  <sheetFormatPr defaultColWidth="11.42578125" defaultRowHeight="15" x14ac:dyDescent="0.25"/>
  <cols>
    <col min="1" max="1" width="20" customWidth="1"/>
    <col min="4" max="4" width="13.140625" customWidth="1"/>
    <col min="5" max="5" width="4.42578125" customWidth="1"/>
    <col min="6" max="6" width="7.28515625" customWidth="1"/>
    <col min="7" max="7" width="4" customWidth="1"/>
    <col min="8" max="8" width="6.42578125" customWidth="1"/>
    <col min="9" max="9" width="4.140625" customWidth="1"/>
    <col min="10" max="10" width="6" customWidth="1"/>
    <col min="11" max="11" width="3.85546875" customWidth="1"/>
    <col min="12" max="12" width="5" customWidth="1"/>
    <col min="13" max="13" width="4.42578125" customWidth="1"/>
    <col min="14" max="14" width="4.7109375" customWidth="1"/>
    <col min="15" max="15" width="4" customWidth="1"/>
    <col min="16" max="16" width="5.42578125" customWidth="1"/>
    <col min="17" max="17" width="4.28515625" customWidth="1"/>
    <col min="18" max="18" width="4.7109375" customWidth="1"/>
    <col min="19" max="19" width="17.85546875" customWidth="1"/>
    <col min="20" max="20" width="15" customWidth="1"/>
    <col min="21" max="21" width="16" customWidth="1"/>
  </cols>
  <sheetData>
    <row r="1" spans="1:21" ht="18.75" x14ac:dyDescent="0.25">
      <c r="A1" s="63" t="s">
        <v>47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6" t="s">
        <v>0</v>
      </c>
      <c r="B2" s="6" t="s">
        <v>1</v>
      </c>
      <c r="C2" s="6" t="s">
        <v>3</v>
      </c>
      <c r="D2" s="12" t="s">
        <v>2</v>
      </c>
      <c r="E2" s="6">
        <v>15</v>
      </c>
      <c r="F2" s="6">
        <v>15.5</v>
      </c>
      <c r="G2" s="6">
        <v>16</v>
      </c>
      <c r="H2" s="6">
        <v>16.5</v>
      </c>
      <c r="I2" s="6">
        <v>17</v>
      </c>
      <c r="J2" s="6">
        <v>17.5</v>
      </c>
      <c r="K2" s="6">
        <v>18</v>
      </c>
      <c r="L2" s="6">
        <v>18.5</v>
      </c>
      <c r="M2" s="6">
        <v>19</v>
      </c>
      <c r="N2" s="6">
        <v>19.5</v>
      </c>
      <c r="O2" s="6">
        <v>20</v>
      </c>
      <c r="P2" s="6">
        <v>20.5</v>
      </c>
      <c r="Q2" s="6">
        <v>21</v>
      </c>
      <c r="R2" s="6">
        <v>21.5</v>
      </c>
      <c r="S2" s="65"/>
      <c r="T2" s="6" t="s">
        <v>9</v>
      </c>
      <c r="U2" s="6" t="s">
        <v>10</v>
      </c>
    </row>
    <row r="3" spans="1:21" x14ac:dyDescent="0.25">
      <c r="A3" s="1" t="s">
        <v>32</v>
      </c>
      <c r="B3" s="10">
        <v>434</v>
      </c>
      <c r="C3" s="10">
        <v>9213</v>
      </c>
      <c r="D3" s="19">
        <f t="shared" ref="D3:D8" si="0">SUM(E3:R3)</f>
        <v>42</v>
      </c>
      <c r="E3" s="10">
        <v>3</v>
      </c>
      <c r="F3" s="10">
        <v>3</v>
      </c>
      <c r="G3" s="10">
        <v>3</v>
      </c>
      <c r="H3" s="10">
        <v>3</v>
      </c>
      <c r="I3" s="10">
        <v>3</v>
      </c>
      <c r="J3" s="10">
        <v>3</v>
      </c>
      <c r="K3" s="10">
        <v>3</v>
      </c>
      <c r="L3" s="10">
        <v>3</v>
      </c>
      <c r="M3" s="10">
        <v>3</v>
      </c>
      <c r="N3" s="10">
        <v>3</v>
      </c>
      <c r="O3" s="10">
        <v>3</v>
      </c>
      <c r="P3" s="10">
        <v>3</v>
      </c>
      <c r="Q3" s="10">
        <v>3</v>
      </c>
      <c r="R3" s="10">
        <v>3</v>
      </c>
      <c r="S3" s="13">
        <v>45957</v>
      </c>
      <c r="T3" s="10" t="s">
        <v>24</v>
      </c>
      <c r="U3" s="10"/>
    </row>
    <row r="4" spans="1:21" x14ac:dyDescent="0.25">
      <c r="A4" s="1" t="s">
        <v>32</v>
      </c>
      <c r="B4" s="10">
        <v>435</v>
      </c>
      <c r="C4" s="10">
        <v>9213</v>
      </c>
      <c r="D4" s="19">
        <f t="shared" si="0"/>
        <v>42</v>
      </c>
      <c r="E4" s="10">
        <v>3</v>
      </c>
      <c r="F4" s="10">
        <v>3</v>
      </c>
      <c r="G4" s="10">
        <v>3</v>
      </c>
      <c r="H4" s="10">
        <v>3</v>
      </c>
      <c r="I4" s="10">
        <v>3</v>
      </c>
      <c r="J4" s="10">
        <v>3</v>
      </c>
      <c r="K4" s="10">
        <v>3</v>
      </c>
      <c r="L4" s="10">
        <v>3</v>
      </c>
      <c r="M4" s="10">
        <v>3</v>
      </c>
      <c r="N4" s="10">
        <v>3</v>
      </c>
      <c r="O4" s="10">
        <v>3</v>
      </c>
      <c r="P4" s="10">
        <v>3</v>
      </c>
      <c r="Q4" s="10">
        <v>3</v>
      </c>
      <c r="R4" s="10">
        <v>3</v>
      </c>
      <c r="S4" s="13">
        <v>45957</v>
      </c>
      <c r="T4" s="10" t="s">
        <v>25</v>
      </c>
      <c r="U4" s="10"/>
    </row>
    <row r="5" spans="1:21" x14ac:dyDescent="0.25">
      <c r="A5" s="1" t="s">
        <v>32</v>
      </c>
      <c r="B5" s="10">
        <v>436</v>
      </c>
      <c r="C5" s="10">
        <v>9213</v>
      </c>
      <c r="D5" s="19">
        <f t="shared" si="0"/>
        <v>42</v>
      </c>
      <c r="E5" s="10">
        <v>3</v>
      </c>
      <c r="F5" s="10">
        <v>3</v>
      </c>
      <c r="G5" s="10">
        <v>3</v>
      </c>
      <c r="H5" s="10">
        <v>3</v>
      </c>
      <c r="I5" s="10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  <c r="P5" s="10">
        <v>3</v>
      </c>
      <c r="Q5" s="10">
        <v>3</v>
      </c>
      <c r="R5" s="10">
        <v>3</v>
      </c>
      <c r="S5" s="13">
        <v>45957</v>
      </c>
      <c r="T5" s="10" t="s">
        <v>25</v>
      </c>
      <c r="U5" s="10"/>
    </row>
    <row r="6" spans="1:21" x14ac:dyDescent="0.25">
      <c r="A6" s="1" t="s">
        <v>32</v>
      </c>
      <c r="B6" s="10">
        <v>437</v>
      </c>
      <c r="C6" s="10">
        <v>9213</v>
      </c>
      <c r="D6" s="19">
        <f t="shared" si="0"/>
        <v>42</v>
      </c>
      <c r="E6" s="10">
        <v>3</v>
      </c>
      <c r="F6" s="10">
        <v>3</v>
      </c>
      <c r="G6" s="10">
        <v>3</v>
      </c>
      <c r="H6" s="10">
        <v>3</v>
      </c>
      <c r="I6" s="10">
        <v>3</v>
      </c>
      <c r="J6" s="10">
        <v>3</v>
      </c>
      <c r="K6" s="10">
        <v>3</v>
      </c>
      <c r="L6" s="10">
        <v>3</v>
      </c>
      <c r="M6" s="10">
        <v>3</v>
      </c>
      <c r="N6" s="10">
        <v>3</v>
      </c>
      <c r="O6" s="10">
        <v>3</v>
      </c>
      <c r="P6" s="10">
        <v>3</v>
      </c>
      <c r="Q6" s="10">
        <v>3</v>
      </c>
      <c r="R6" s="10">
        <v>3</v>
      </c>
      <c r="S6" s="13">
        <v>45957</v>
      </c>
      <c r="T6" s="10"/>
      <c r="U6" s="10"/>
    </row>
    <row r="7" spans="1:21" x14ac:dyDescent="0.25">
      <c r="A7" s="1" t="s">
        <v>32</v>
      </c>
      <c r="B7" s="10">
        <v>438</v>
      </c>
      <c r="C7" s="10">
        <v>9213</v>
      </c>
      <c r="D7" s="19">
        <f t="shared" si="0"/>
        <v>42</v>
      </c>
      <c r="E7" s="10">
        <v>3</v>
      </c>
      <c r="F7" s="10">
        <v>3</v>
      </c>
      <c r="G7" s="10">
        <v>3</v>
      </c>
      <c r="H7" s="10">
        <v>3</v>
      </c>
      <c r="I7" s="10">
        <v>3</v>
      </c>
      <c r="J7" s="10">
        <v>3</v>
      </c>
      <c r="K7" s="10">
        <v>3</v>
      </c>
      <c r="L7" s="10">
        <v>3</v>
      </c>
      <c r="M7" s="10">
        <v>3</v>
      </c>
      <c r="N7" s="10">
        <v>3</v>
      </c>
      <c r="O7" s="10">
        <v>3</v>
      </c>
      <c r="P7" s="10">
        <v>3</v>
      </c>
      <c r="Q7" s="10">
        <v>3</v>
      </c>
      <c r="R7" s="10">
        <v>3</v>
      </c>
      <c r="S7" s="13">
        <v>45957</v>
      </c>
      <c r="T7" s="10" t="s">
        <v>25</v>
      </c>
      <c r="U7" s="10"/>
    </row>
    <row r="8" spans="1:21" x14ac:dyDescent="0.25">
      <c r="A8" s="1" t="s">
        <v>32</v>
      </c>
      <c r="B8" s="10">
        <v>439</v>
      </c>
      <c r="C8" s="10">
        <v>1002</v>
      </c>
      <c r="D8" s="19">
        <f t="shared" si="0"/>
        <v>42</v>
      </c>
      <c r="E8" s="10">
        <v>3</v>
      </c>
      <c r="F8" s="10">
        <v>3</v>
      </c>
      <c r="G8" s="10">
        <v>3</v>
      </c>
      <c r="H8" s="10">
        <v>3</v>
      </c>
      <c r="I8" s="10">
        <v>3</v>
      </c>
      <c r="J8" s="10">
        <v>3</v>
      </c>
      <c r="K8" s="10">
        <v>3</v>
      </c>
      <c r="L8" s="10">
        <v>3</v>
      </c>
      <c r="M8" s="10">
        <v>3</v>
      </c>
      <c r="N8" s="10">
        <v>3</v>
      </c>
      <c r="O8" s="10">
        <v>3</v>
      </c>
      <c r="P8" s="10">
        <v>3</v>
      </c>
      <c r="Q8" s="10">
        <v>3</v>
      </c>
      <c r="R8" s="10">
        <v>3</v>
      </c>
      <c r="S8" s="13">
        <v>45957</v>
      </c>
      <c r="T8" s="10" t="s">
        <v>25</v>
      </c>
      <c r="U8" s="10"/>
    </row>
    <row r="9" spans="1:21" x14ac:dyDescent="0.25">
      <c r="A9" s="1" t="s">
        <v>42</v>
      </c>
      <c r="B9" s="10">
        <v>440</v>
      </c>
      <c r="C9" s="10">
        <v>9208</v>
      </c>
      <c r="D9" s="19">
        <f t="shared" ref="D9:D23" si="1">SUM(E9:R9)</f>
        <v>20</v>
      </c>
      <c r="E9" s="10"/>
      <c r="F9" s="10"/>
      <c r="G9" s="10">
        <v>1</v>
      </c>
      <c r="H9" s="10">
        <v>2</v>
      </c>
      <c r="I9" s="10">
        <v>1</v>
      </c>
      <c r="J9" s="10">
        <v>2</v>
      </c>
      <c r="K9" s="10">
        <v>2</v>
      </c>
      <c r="L9" s="10">
        <v>2</v>
      </c>
      <c r="M9" s="10">
        <v>1</v>
      </c>
      <c r="N9" s="10">
        <v>2</v>
      </c>
      <c r="O9" s="10">
        <v>2</v>
      </c>
      <c r="P9" s="10">
        <v>1</v>
      </c>
      <c r="Q9" s="10">
        <v>2</v>
      </c>
      <c r="R9" s="10">
        <v>2</v>
      </c>
      <c r="S9" s="13">
        <v>45957</v>
      </c>
      <c r="T9" s="10" t="s">
        <v>49</v>
      </c>
      <c r="U9" s="10" t="s">
        <v>23</v>
      </c>
    </row>
    <row r="10" spans="1:21" x14ac:dyDescent="0.25">
      <c r="A10" s="1" t="s">
        <v>42</v>
      </c>
      <c r="B10" s="10">
        <v>441</v>
      </c>
      <c r="C10" s="10">
        <v>9205</v>
      </c>
      <c r="D10" s="19">
        <f t="shared" si="1"/>
        <v>23</v>
      </c>
      <c r="E10" s="10">
        <v>1</v>
      </c>
      <c r="F10" s="10">
        <v>1</v>
      </c>
      <c r="G10" s="10">
        <v>2</v>
      </c>
      <c r="H10" s="10">
        <v>1</v>
      </c>
      <c r="I10" s="10">
        <v>1</v>
      </c>
      <c r="J10" s="10">
        <v>2</v>
      </c>
      <c r="K10" s="10">
        <v>2</v>
      </c>
      <c r="L10" s="10">
        <v>2</v>
      </c>
      <c r="M10" s="10">
        <v>1</v>
      </c>
      <c r="N10" s="10">
        <v>2</v>
      </c>
      <c r="O10" s="10">
        <v>2</v>
      </c>
      <c r="P10" s="10">
        <v>2</v>
      </c>
      <c r="Q10" s="10">
        <v>2</v>
      </c>
      <c r="R10" s="10">
        <v>2</v>
      </c>
      <c r="S10" s="13">
        <v>45957</v>
      </c>
      <c r="T10" s="10" t="s">
        <v>25</v>
      </c>
      <c r="U10" s="10" t="s">
        <v>23</v>
      </c>
    </row>
    <row r="11" spans="1:21" x14ac:dyDescent="0.25">
      <c r="A11" s="1" t="s">
        <v>42</v>
      </c>
      <c r="B11" s="10">
        <v>442</v>
      </c>
      <c r="C11" s="10">
        <v>9218</v>
      </c>
      <c r="D11" s="19">
        <f t="shared" si="1"/>
        <v>26</v>
      </c>
      <c r="E11" s="10">
        <v>1</v>
      </c>
      <c r="F11" s="10">
        <v>1</v>
      </c>
      <c r="G11" s="10">
        <v>2</v>
      </c>
      <c r="H11" s="10">
        <v>2</v>
      </c>
      <c r="I11" s="10">
        <v>2</v>
      </c>
      <c r="J11" s="10">
        <v>2</v>
      </c>
      <c r="K11" s="10">
        <v>2</v>
      </c>
      <c r="L11" s="10">
        <v>2</v>
      </c>
      <c r="M11" s="10">
        <v>2</v>
      </c>
      <c r="N11" s="10">
        <v>2</v>
      </c>
      <c r="O11" s="10">
        <v>2</v>
      </c>
      <c r="P11" s="10">
        <v>2</v>
      </c>
      <c r="Q11" s="10">
        <v>2</v>
      </c>
      <c r="R11" s="10">
        <v>2</v>
      </c>
      <c r="S11" s="13">
        <v>45957</v>
      </c>
      <c r="T11" s="10" t="s">
        <v>24</v>
      </c>
      <c r="U11" s="10" t="s">
        <v>23</v>
      </c>
    </row>
    <row r="12" spans="1:21" x14ac:dyDescent="0.25">
      <c r="A12" s="1" t="s">
        <v>42</v>
      </c>
      <c r="B12" s="10">
        <v>443</v>
      </c>
      <c r="C12" s="10">
        <v>9228</v>
      </c>
      <c r="D12" s="19">
        <f t="shared" si="1"/>
        <v>26</v>
      </c>
      <c r="E12" s="10">
        <v>1</v>
      </c>
      <c r="F12" s="10">
        <v>1</v>
      </c>
      <c r="G12" s="10">
        <v>2</v>
      </c>
      <c r="H12" s="10">
        <v>2</v>
      </c>
      <c r="I12" s="10">
        <v>2</v>
      </c>
      <c r="J12" s="10">
        <v>2</v>
      </c>
      <c r="K12" s="10">
        <v>2</v>
      </c>
      <c r="L12" s="10">
        <v>2</v>
      </c>
      <c r="M12" s="10">
        <v>2</v>
      </c>
      <c r="N12" s="10">
        <v>2</v>
      </c>
      <c r="O12" s="10">
        <v>2</v>
      </c>
      <c r="P12" s="10">
        <v>2</v>
      </c>
      <c r="Q12" s="10">
        <v>2</v>
      </c>
      <c r="R12" s="10">
        <v>2</v>
      </c>
      <c r="S12" s="13">
        <v>45957</v>
      </c>
      <c r="T12" s="10" t="s">
        <v>24</v>
      </c>
      <c r="U12" s="10" t="s">
        <v>23</v>
      </c>
    </row>
    <row r="13" spans="1:21" x14ac:dyDescent="0.25">
      <c r="A13" s="1" t="s">
        <v>42</v>
      </c>
      <c r="B13" s="10">
        <v>444</v>
      </c>
      <c r="C13" s="10">
        <v>9201</v>
      </c>
      <c r="D13" s="19">
        <f t="shared" si="1"/>
        <v>14</v>
      </c>
      <c r="E13" s="10">
        <v>1</v>
      </c>
      <c r="F13" s="10">
        <v>1</v>
      </c>
      <c r="G13" s="10">
        <v>2</v>
      </c>
      <c r="H13" s="10">
        <v>1</v>
      </c>
      <c r="I13" s="10">
        <v>1</v>
      </c>
      <c r="J13" s="10"/>
      <c r="K13" s="10"/>
      <c r="L13" s="10"/>
      <c r="M13" s="10">
        <v>2</v>
      </c>
      <c r="N13" s="10"/>
      <c r="O13" s="10"/>
      <c r="P13" s="10">
        <v>2</v>
      </c>
      <c r="Q13" s="10">
        <v>2</v>
      </c>
      <c r="R13" s="10">
        <v>2</v>
      </c>
      <c r="S13" s="13">
        <v>45957</v>
      </c>
      <c r="T13" s="10" t="s">
        <v>25</v>
      </c>
      <c r="U13" s="10" t="s">
        <v>23</v>
      </c>
    </row>
    <row r="14" spans="1:21" x14ac:dyDescent="0.25">
      <c r="A14" s="1" t="s">
        <v>42</v>
      </c>
      <c r="B14" s="10">
        <v>445</v>
      </c>
      <c r="C14" s="10">
        <v>9211</v>
      </c>
      <c r="D14" s="19">
        <f t="shared" si="1"/>
        <v>26</v>
      </c>
      <c r="E14" s="10">
        <v>1</v>
      </c>
      <c r="F14" s="10">
        <v>1</v>
      </c>
      <c r="G14" s="10">
        <v>2</v>
      </c>
      <c r="H14" s="10">
        <v>2</v>
      </c>
      <c r="I14" s="10">
        <v>2</v>
      </c>
      <c r="J14" s="10">
        <v>2</v>
      </c>
      <c r="K14" s="10">
        <v>2</v>
      </c>
      <c r="L14" s="10">
        <v>2</v>
      </c>
      <c r="M14" s="10">
        <v>2</v>
      </c>
      <c r="N14" s="10">
        <v>2</v>
      </c>
      <c r="O14" s="10">
        <v>2</v>
      </c>
      <c r="P14" s="10">
        <v>2</v>
      </c>
      <c r="Q14" s="10">
        <v>2</v>
      </c>
      <c r="R14" s="10">
        <v>2</v>
      </c>
      <c r="S14" s="13">
        <v>45957</v>
      </c>
      <c r="T14" s="10" t="s">
        <v>24</v>
      </c>
      <c r="U14" s="10" t="s">
        <v>23</v>
      </c>
    </row>
    <row r="15" spans="1:21" x14ac:dyDescent="0.25">
      <c r="A15" s="1" t="s">
        <v>42</v>
      </c>
      <c r="B15" s="10">
        <v>446</v>
      </c>
      <c r="C15" s="10">
        <v>9213</v>
      </c>
      <c r="D15" s="19">
        <f t="shared" si="1"/>
        <v>14</v>
      </c>
      <c r="E15" s="10"/>
      <c r="F15" s="10">
        <v>1</v>
      </c>
      <c r="G15" s="10">
        <v>2</v>
      </c>
      <c r="H15" s="10">
        <v>2</v>
      </c>
      <c r="I15" s="10">
        <v>1</v>
      </c>
      <c r="J15" s="10"/>
      <c r="K15" s="10">
        <v>2</v>
      </c>
      <c r="L15" s="10"/>
      <c r="M15" s="10">
        <v>1</v>
      </c>
      <c r="N15" s="10"/>
      <c r="O15" s="10">
        <v>1</v>
      </c>
      <c r="P15" s="10">
        <v>1</v>
      </c>
      <c r="Q15" s="10">
        <v>1</v>
      </c>
      <c r="R15" s="10">
        <v>2</v>
      </c>
      <c r="S15" s="13">
        <v>45957</v>
      </c>
      <c r="T15" s="10" t="s">
        <v>25</v>
      </c>
      <c r="U15" s="10"/>
    </row>
    <row r="16" spans="1:21" x14ac:dyDescent="0.25">
      <c r="A16" s="1" t="s">
        <v>42</v>
      </c>
      <c r="B16" s="10">
        <v>447</v>
      </c>
      <c r="C16" s="10">
        <v>9201</v>
      </c>
      <c r="D16" s="19">
        <f t="shared" si="1"/>
        <v>9</v>
      </c>
      <c r="E16" s="10">
        <v>1</v>
      </c>
      <c r="F16" s="10">
        <v>1</v>
      </c>
      <c r="G16" s="10">
        <v>2</v>
      </c>
      <c r="H16" s="10">
        <v>1</v>
      </c>
      <c r="I16" s="10">
        <v>2</v>
      </c>
      <c r="J16" s="10"/>
      <c r="K16" s="10">
        <v>1</v>
      </c>
      <c r="L16" s="10"/>
      <c r="M16" s="10"/>
      <c r="N16" s="10"/>
      <c r="O16" s="10">
        <v>1</v>
      </c>
      <c r="P16" s="10"/>
      <c r="Q16" s="10"/>
      <c r="R16" s="10"/>
      <c r="S16" s="13">
        <v>45957</v>
      </c>
      <c r="T16" s="10" t="s">
        <v>25</v>
      </c>
      <c r="U16" s="10" t="s">
        <v>23</v>
      </c>
    </row>
    <row r="17" spans="1:21" x14ac:dyDescent="0.25">
      <c r="A17" s="1" t="s">
        <v>43</v>
      </c>
      <c r="B17" s="10">
        <v>448</v>
      </c>
      <c r="C17" s="10">
        <v>9231</v>
      </c>
      <c r="D17" s="19">
        <f t="shared" si="1"/>
        <v>60</v>
      </c>
      <c r="E17" s="10">
        <v>4</v>
      </c>
      <c r="F17" s="10">
        <v>4</v>
      </c>
      <c r="G17" s="10">
        <v>4</v>
      </c>
      <c r="H17" s="10">
        <v>4</v>
      </c>
      <c r="I17" s="10">
        <v>4</v>
      </c>
      <c r="J17" s="10">
        <v>4</v>
      </c>
      <c r="K17" s="10">
        <v>6</v>
      </c>
      <c r="L17" s="10">
        <v>3</v>
      </c>
      <c r="M17" s="10">
        <v>6</v>
      </c>
      <c r="N17" s="10">
        <v>3</v>
      </c>
      <c r="O17" s="10">
        <v>6</v>
      </c>
      <c r="P17" s="10">
        <v>3</v>
      </c>
      <c r="Q17" s="10">
        <v>6</v>
      </c>
      <c r="R17" s="10">
        <v>3</v>
      </c>
      <c r="S17" s="13">
        <v>45957</v>
      </c>
      <c r="T17" s="10"/>
      <c r="U17" s="10"/>
    </row>
    <row r="18" spans="1:21" ht="14.25" customHeight="1" x14ac:dyDescent="0.25">
      <c r="A18" s="1" t="s">
        <v>44</v>
      </c>
      <c r="B18" s="2">
        <v>451</v>
      </c>
      <c r="C18" s="2">
        <v>9242</v>
      </c>
      <c r="D18" s="19">
        <f t="shared" si="1"/>
        <v>28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2">
        <v>2</v>
      </c>
      <c r="M18" s="2">
        <v>2</v>
      </c>
      <c r="N18" s="2">
        <v>2</v>
      </c>
      <c r="O18" s="2">
        <v>2</v>
      </c>
      <c r="P18" s="2">
        <v>2</v>
      </c>
      <c r="Q18" s="2">
        <v>2</v>
      </c>
      <c r="R18" s="2">
        <v>2</v>
      </c>
      <c r="S18" s="3">
        <v>45959</v>
      </c>
      <c r="T18" s="2" t="s">
        <v>25</v>
      </c>
      <c r="U18" s="2" t="s">
        <v>23</v>
      </c>
    </row>
    <row r="19" spans="1:21" x14ac:dyDescent="0.25">
      <c r="A19" s="1" t="s">
        <v>44</v>
      </c>
      <c r="B19" s="2">
        <v>452</v>
      </c>
      <c r="C19" s="2">
        <v>9218</v>
      </c>
      <c r="D19" s="19">
        <f t="shared" si="1"/>
        <v>28</v>
      </c>
      <c r="E19" s="2">
        <v>2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>
        <v>2</v>
      </c>
      <c r="M19" s="2">
        <v>2</v>
      </c>
      <c r="N19" s="2">
        <v>2</v>
      </c>
      <c r="O19" s="2">
        <v>2</v>
      </c>
      <c r="P19" s="2">
        <v>2</v>
      </c>
      <c r="Q19" s="2">
        <v>2</v>
      </c>
      <c r="R19" s="2">
        <v>2</v>
      </c>
      <c r="S19" s="3">
        <v>45959</v>
      </c>
      <c r="T19" s="2" t="s">
        <v>23</v>
      </c>
      <c r="U19" s="2" t="s">
        <v>23</v>
      </c>
    </row>
    <row r="20" spans="1:21" x14ac:dyDescent="0.25">
      <c r="A20" s="1" t="s">
        <v>44</v>
      </c>
      <c r="B20" s="2">
        <v>453</v>
      </c>
      <c r="C20" s="2">
        <v>9267</v>
      </c>
      <c r="D20" s="19">
        <f t="shared" si="1"/>
        <v>28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2</v>
      </c>
      <c r="M20" s="2">
        <v>2</v>
      </c>
      <c r="N20" s="2">
        <v>2</v>
      </c>
      <c r="O20" s="2">
        <v>2</v>
      </c>
      <c r="P20" s="2">
        <v>2</v>
      </c>
      <c r="Q20" s="2">
        <v>2</v>
      </c>
      <c r="R20" s="2">
        <v>2</v>
      </c>
      <c r="S20" s="3">
        <v>45959</v>
      </c>
      <c r="T20" s="2" t="s">
        <v>25</v>
      </c>
      <c r="U20" s="2" t="s">
        <v>23</v>
      </c>
    </row>
    <row r="21" spans="1:21" x14ac:dyDescent="0.25">
      <c r="A21" s="1" t="s">
        <v>44</v>
      </c>
      <c r="B21" s="2">
        <v>454</v>
      </c>
      <c r="C21" s="2">
        <v>9248</v>
      </c>
      <c r="D21" s="19">
        <f t="shared" si="1"/>
        <v>28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2</v>
      </c>
      <c r="P21" s="2">
        <v>2</v>
      </c>
      <c r="Q21" s="2">
        <v>2</v>
      </c>
      <c r="R21" s="2">
        <v>2</v>
      </c>
      <c r="S21" s="3">
        <v>45959</v>
      </c>
      <c r="T21" s="2" t="s">
        <v>25</v>
      </c>
      <c r="U21" s="2" t="s">
        <v>23</v>
      </c>
    </row>
    <row r="22" spans="1:21" x14ac:dyDescent="0.25">
      <c r="A22" s="1" t="s">
        <v>44</v>
      </c>
      <c r="B22" s="2">
        <v>455</v>
      </c>
      <c r="C22" s="2">
        <v>9231</v>
      </c>
      <c r="D22" s="19">
        <f t="shared" si="1"/>
        <v>28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2</v>
      </c>
      <c r="M22" s="2">
        <v>2</v>
      </c>
      <c r="N22" s="2">
        <v>2</v>
      </c>
      <c r="O22" s="2">
        <v>2</v>
      </c>
      <c r="P22" s="2">
        <v>2</v>
      </c>
      <c r="Q22" s="2">
        <v>2</v>
      </c>
      <c r="R22" s="2">
        <v>2</v>
      </c>
      <c r="S22" s="3">
        <v>45959</v>
      </c>
      <c r="T22" s="2" t="s">
        <v>25</v>
      </c>
      <c r="U22" s="2" t="s">
        <v>23</v>
      </c>
    </row>
    <row r="23" spans="1:21" x14ac:dyDescent="0.25">
      <c r="A23" s="1" t="s">
        <v>44</v>
      </c>
      <c r="B23" s="2">
        <v>456</v>
      </c>
      <c r="C23" s="2">
        <v>9240</v>
      </c>
      <c r="D23" s="19">
        <f t="shared" si="1"/>
        <v>28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2</v>
      </c>
      <c r="M23" s="2">
        <v>2</v>
      </c>
      <c r="N23" s="2">
        <v>2</v>
      </c>
      <c r="O23" s="2">
        <v>2</v>
      </c>
      <c r="P23" s="2">
        <v>2</v>
      </c>
      <c r="Q23" s="2">
        <v>2</v>
      </c>
      <c r="R23" s="2">
        <v>2</v>
      </c>
      <c r="S23" s="3">
        <v>45959</v>
      </c>
      <c r="T23" s="2" t="s">
        <v>25</v>
      </c>
      <c r="U23" s="2" t="s">
        <v>23</v>
      </c>
    </row>
    <row r="24" spans="1:21" x14ac:dyDescent="0.25">
      <c r="D24" s="20">
        <f>SUM(D3:D23)</f>
        <v>638</v>
      </c>
    </row>
    <row r="26" spans="1:21" ht="15.75" x14ac:dyDescent="0.25">
      <c r="D26" s="14" t="s">
        <v>46</v>
      </c>
      <c r="E26" s="15">
        <v>12</v>
      </c>
      <c r="F26" s="15">
        <v>12.5</v>
      </c>
      <c r="G26" s="15">
        <v>13</v>
      </c>
      <c r="H26" s="15">
        <v>13.5</v>
      </c>
      <c r="I26" s="15">
        <v>14</v>
      </c>
      <c r="J26" s="15">
        <v>14.5</v>
      </c>
    </row>
    <row r="27" spans="1:21" x14ac:dyDescent="0.25">
      <c r="A27" s="1" t="s">
        <v>45</v>
      </c>
      <c r="B27" s="10">
        <v>464</v>
      </c>
      <c r="C27" s="10">
        <v>7001</v>
      </c>
      <c r="D27" s="10">
        <f>SUM(E27:J27)</f>
        <v>54</v>
      </c>
      <c r="E27" s="10">
        <v>9</v>
      </c>
      <c r="F27" s="10">
        <v>9</v>
      </c>
      <c r="G27" s="10">
        <v>9</v>
      </c>
      <c r="H27" s="10">
        <v>9</v>
      </c>
      <c r="I27" s="10">
        <v>9</v>
      </c>
      <c r="J27" s="10">
        <v>9</v>
      </c>
      <c r="K27" s="10"/>
      <c r="L27" s="10"/>
      <c r="M27" s="10"/>
      <c r="N27" s="10"/>
      <c r="O27" s="10"/>
      <c r="P27" s="10"/>
      <c r="Q27" s="10"/>
      <c r="R27" s="10"/>
      <c r="S27" s="13">
        <v>45961</v>
      </c>
      <c r="T27" s="10"/>
      <c r="U27" s="10"/>
    </row>
    <row r="28" spans="1:21" x14ac:dyDescent="0.25">
      <c r="A28" s="1" t="s">
        <v>45</v>
      </c>
      <c r="B28" s="10">
        <v>465</v>
      </c>
      <c r="C28" s="10">
        <v>7002</v>
      </c>
      <c r="D28" s="10">
        <f>SUM(E28:J28)</f>
        <v>54</v>
      </c>
      <c r="E28" s="10">
        <v>9</v>
      </c>
      <c r="F28" s="10">
        <v>9</v>
      </c>
      <c r="G28" s="10">
        <v>9</v>
      </c>
      <c r="H28" s="10">
        <v>9</v>
      </c>
      <c r="I28" s="10">
        <v>9</v>
      </c>
      <c r="J28" s="10">
        <v>9</v>
      </c>
      <c r="K28" s="10"/>
      <c r="L28" s="10"/>
      <c r="M28" s="10"/>
      <c r="N28" s="10"/>
      <c r="O28" s="10"/>
      <c r="P28" s="10"/>
      <c r="Q28" s="10"/>
      <c r="R28" s="10"/>
      <c r="S28" s="13">
        <v>45961</v>
      </c>
      <c r="T28" s="10"/>
      <c r="U28" s="10"/>
    </row>
    <row r="29" spans="1:21" x14ac:dyDescent="0.25">
      <c r="A29" s="1" t="s">
        <v>45</v>
      </c>
      <c r="B29" s="10">
        <v>466</v>
      </c>
      <c r="C29" s="10">
        <v>7003</v>
      </c>
      <c r="D29" s="10">
        <f>SUM(E29:J29)</f>
        <v>54</v>
      </c>
      <c r="E29" s="10">
        <v>9</v>
      </c>
      <c r="F29" s="10">
        <v>9</v>
      </c>
      <c r="G29" s="10">
        <v>9</v>
      </c>
      <c r="H29" s="10">
        <v>9</v>
      </c>
      <c r="I29" s="10">
        <v>9</v>
      </c>
      <c r="J29" s="10">
        <v>9</v>
      </c>
      <c r="K29" s="10"/>
      <c r="L29" s="10"/>
      <c r="M29" s="10"/>
      <c r="N29" s="10"/>
      <c r="O29" s="10"/>
      <c r="P29" s="10"/>
      <c r="Q29" s="10"/>
      <c r="R29" s="10"/>
      <c r="S29" s="13">
        <v>45961</v>
      </c>
      <c r="T29" s="10"/>
      <c r="U29" s="10"/>
    </row>
    <row r="30" spans="1:21" x14ac:dyDescent="0.25">
      <c r="B30" s="16"/>
      <c r="C30" s="16"/>
      <c r="D30" s="10">
        <f>SUM(D27:D29)</f>
        <v>162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</sheetData>
  <mergeCells count="4">
    <mergeCell ref="A1:D1"/>
    <mergeCell ref="E1:R1"/>
    <mergeCell ref="S1:S2"/>
    <mergeCell ref="T1:U1"/>
  </mergeCells>
  <pageMargins left="0.7" right="0.7" top="0.75" bottom="0.75" header="0.3" footer="0.3"/>
  <ignoredErrors>
    <ignoredError sqref="D3:D2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0"/>
  <sheetViews>
    <sheetView topLeftCell="A16" workbookViewId="0">
      <selection activeCell="D3" sqref="D3:D30"/>
    </sheetView>
  </sheetViews>
  <sheetFormatPr defaultColWidth="11.42578125" defaultRowHeight="15" x14ac:dyDescent="0.25"/>
  <cols>
    <col min="1" max="1" width="18.7109375" customWidth="1"/>
    <col min="4" max="4" width="12.5703125" customWidth="1"/>
    <col min="5" max="5" width="4.7109375" customWidth="1"/>
    <col min="6" max="6" width="5" customWidth="1"/>
    <col min="7" max="7" width="4.140625" customWidth="1"/>
    <col min="8" max="8" width="5.85546875" customWidth="1"/>
    <col min="9" max="9" width="4.85546875" customWidth="1"/>
    <col min="10" max="10" width="5.28515625" customWidth="1"/>
    <col min="11" max="11" width="4.5703125" customWidth="1"/>
    <col min="12" max="12" width="4.85546875" customWidth="1"/>
    <col min="13" max="13" width="4.7109375" customWidth="1"/>
    <col min="14" max="14" width="5.42578125" customWidth="1"/>
    <col min="15" max="15" width="4.7109375" customWidth="1"/>
    <col min="16" max="16" width="5.5703125" customWidth="1"/>
    <col min="17" max="17" width="5.140625" customWidth="1"/>
    <col min="18" max="18" width="6.140625" customWidth="1"/>
    <col min="19" max="19" width="17.42578125" customWidth="1"/>
    <col min="20" max="20" width="14.140625" customWidth="1"/>
    <col min="21" max="21" width="14" customWidth="1"/>
  </cols>
  <sheetData>
    <row r="1" spans="1:21" ht="18.75" x14ac:dyDescent="0.25">
      <c r="A1" s="63" t="s">
        <v>48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6" t="s">
        <v>0</v>
      </c>
      <c r="B2" s="6" t="s">
        <v>1</v>
      </c>
      <c r="C2" s="6" t="s">
        <v>3</v>
      </c>
      <c r="D2" s="12" t="s">
        <v>2</v>
      </c>
      <c r="E2" s="6">
        <v>15</v>
      </c>
      <c r="F2" s="6">
        <v>15.5</v>
      </c>
      <c r="G2" s="6">
        <v>16</v>
      </c>
      <c r="H2" s="6">
        <v>16.5</v>
      </c>
      <c r="I2" s="6">
        <v>17</v>
      </c>
      <c r="J2" s="6">
        <v>17.5</v>
      </c>
      <c r="K2" s="6">
        <v>18</v>
      </c>
      <c r="L2" s="6">
        <v>18.5</v>
      </c>
      <c r="M2" s="6">
        <v>19</v>
      </c>
      <c r="N2" s="6">
        <v>19.5</v>
      </c>
      <c r="O2" s="6">
        <v>20</v>
      </c>
      <c r="P2" s="6">
        <v>20.5</v>
      </c>
      <c r="Q2" s="6">
        <v>21</v>
      </c>
      <c r="R2" s="6">
        <v>21.5</v>
      </c>
      <c r="S2" s="65"/>
      <c r="T2" s="6" t="s">
        <v>9</v>
      </c>
      <c r="U2" s="6" t="s">
        <v>10</v>
      </c>
    </row>
    <row r="3" spans="1:21" x14ac:dyDescent="0.25">
      <c r="A3" s="1" t="s">
        <v>45</v>
      </c>
      <c r="B3" s="10">
        <v>468</v>
      </c>
      <c r="C3" s="10">
        <v>9208</v>
      </c>
      <c r="D3" s="19">
        <f>SUM(E3:R3)</f>
        <v>48</v>
      </c>
      <c r="E3" s="10">
        <v>4</v>
      </c>
      <c r="F3" s="10">
        <v>4</v>
      </c>
      <c r="G3" s="10">
        <v>4</v>
      </c>
      <c r="H3" s="10">
        <v>4</v>
      </c>
      <c r="I3" s="10">
        <v>4</v>
      </c>
      <c r="J3" s="10">
        <v>4</v>
      </c>
      <c r="K3" s="10">
        <v>4</v>
      </c>
      <c r="L3" s="10">
        <v>2</v>
      </c>
      <c r="M3" s="10">
        <v>4</v>
      </c>
      <c r="N3" s="10">
        <v>2</v>
      </c>
      <c r="O3" s="10">
        <v>4</v>
      </c>
      <c r="P3" s="10">
        <v>2</v>
      </c>
      <c r="Q3" s="10">
        <v>4</v>
      </c>
      <c r="R3" s="10">
        <v>2</v>
      </c>
      <c r="S3" s="13">
        <v>45964</v>
      </c>
      <c r="T3" s="10"/>
      <c r="U3" s="10" t="s">
        <v>23</v>
      </c>
    </row>
    <row r="4" spans="1:21" ht="15.75" customHeight="1" x14ac:dyDescent="0.25">
      <c r="A4" s="1" t="s">
        <v>45</v>
      </c>
      <c r="B4" s="10">
        <v>469</v>
      </c>
      <c r="C4" s="10">
        <v>9208</v>
      </c>
      <c r="D4" s="19">
        <f t="shared" ref="D4:D5" si="0">SUM(E4:R4)</f>
        <v>48</v>
      </c>
      <c r="E4" s="10">
        <v>4</v>
      </c>
      <c r="F4" s="10">
        <v>4</v>
      </c>
      <c r="G4" s="10">
        <v>4</v>
      </c>
      <c r="H4" s="10">
        <v>4</v>
      </c>
      <c r="I4" s="10">
        <v>4</v>
      </c>
      <c r="J4" s="10">
        <v>4</v>
      </c>
      <c r="K4" s="10">
        <v>4</v>
      </c>
      <c r="L4" s="10">
        <v>2</v>
      </c>
      <c r="M4" s="10">
        <v>4</v>
      </c>
      <c r="N4" s="10">
        <v>2</v>
      </c>
      <c r="O4" s="10">
        <v>4</v>
      </c>
      <c r="P4" s="10">
        <v>2</v>
      </c>
      <c r="Q4" s="10">
        <v>4</v>
      </c>
      <c r="R4" s="10">
        <v>2</v>
      </c>
      <c r="S4" s="13">
        <v>45964</v>
      </c>
      <c r="T4" s="10"/>
      <c r="U4" s="10" t="s">
        <v>23</v>
      </c>
    </row>
    <row r="5" spans="1:21" x14ac:dyDescent="0.25">
      <c r="A5" s="1" t="s">
        <v>45</v>
      </c>
      <c r="B5" s="10">
        <v>470</v>
      </c>
      <c r="C5" s="10">
        <v>9208</v>
      </c>
      <c r="D5" s="19">
        <f t="shared" si="0"/>
        <v>48</v>
      </c>
      <c r="E5" s="10">
        <v>4</v>
      </c>
      <c r="F5" s="10">
        <v>4</v>
      </c>
      <c r="G5" s="10">
        <v>4</v>
      </c>
      <c r="H5" s="10">
        <v>4</v>
      </c>
      <c r="I5" s="10">
        <v>4</v>
      </c>
      <c r="J5" s="10">
        <v>4</v>
      </c>
      <c r="K5" s="10">
        <v>4</v>
      </c>
      <c r="L5" s="10">
        <v>2</v>
      </c>
      <c r="M5" s="10">
        <v>4</v>
      </c>
      <c r="N5" s="10">
        <v>2</v>
      </c>
      <c r="O5" s="10">
        <v>4</v>
      </c>
      <c r="P5" s="10">
        <v>2</v>
      </c>
      <c r="Q5" s="10">
        <v>4</v>
      </c>
      <c r="R5" s="10">
        <v>2</v>
      </c>
      <c r="S5" s="13">
        <v>45964</v>
      </c>
      <c r="T5" s="10"/>
      <c r="U5" s="10" t="s">
        <v>51</v>
      </c>
    </row>
    <row r="6" spans="1:21" x14ac:dyDescent="0.25">
      <c r="A6" s="1" t="s">
        <v>33</v>
      </c>
      <c r="B6" s="10">
        <v>471</v>
      </c>
      <c r="C6" s="10">
        <v>9260</v>
      </c>
      <c r="D6" s="19">
        <f>SUM(E6:R6)</f>
        <v>72</v>
      </c>
      <c r="E6" s="10">
        <v>6</v>
      </c>
      <c r="F6" s="10">
        <v>6</v>
      </c>
      <c r="G6" s="10">
        <v>6</v>
      </c>
      <c r="H6" s="10">
        <v>6</v>
      </c>
      <c r="I6" s="10">
        <v>6</v>
      </c>
      <c r="J6" s="10">
        <v>6</v>
      </c>
      <c r="K6" s="10">
        <v>6</v>
      </c>
      <c r="L6" s="10">
        <v>3</v>
      </c>
      <c r="M6" s="10">
        <v>6</v>
      </c>
      <c r="N6" s="10">
        <v>3</v>
      </c>
      <c r="O6" s="10">
        <v>6</v>
      </c>
      <c r="P6" s="10">
        <v>3</v>
      </c>
      <c r="Q6" s="10">
        <v>6</v>
      </c>
      <c r="R6" s="10">
        <v>3</v>
      </c>
      <c r="S6" s="13">
        <v>45964</v>
      </c>
      <c r="T6" s="10" t="s">
        <v>25</v>
      </c>
      <c r="U6" s="10" t="s">
        <v>23</v>
      </c>
    </row>
    <row r="7" spans="1:21" x14ac:dyDescent="0.25">
      <c r="A7" s="1" t="s">
        <v>33</v>
      </c>
      <c r="B7" s="10">
        <v>472</v>
      </c>
      <c r="C7" s="10">
        <v>9260</v>
      </c>
      <c r="D7" s="19">
        <f t="shared" ref="D7:D29" si="1">SUM(E7:R7)</f>
        <v>72</v>
      </c>
      <c r="E7" s="10">
        <v>6</v>
      </c>
      <c r="F7" s="10">
        <v>6</v>
      </c>
      <c r="G7" s="10">
        <v>6</v>
      </c>
      <c r="H7" s="10">
        <v>6</v>
      </c>
      <c r="I7" s="10">
        <v>6</v>
      </c>
      <c r="J7" s="10">
        <v>6</v>
      </c>
      <c r="K7" s="10">
        <v>6</v>
      </c>
      <c r="L7" s="10">
        <v>3</v>
      </c>
      <c r="M7" s="10">
        <v>6</v>
      </c>
      <c r="N7" s="10">
        <v>3</v>
      </c>
      <c r="O7" s="10">
        <v>6</v>
      </c>
      <c r="P7" s="10">
        <v>3</v>
      </c>
      <c r="Q7" s="10">
        <v>6</v>
      </c>
      <c r="R7" s="10">
        <v>3</v>
      </c>
      <c r="S7" s="13">
        <v>45964</v>
      </c>
      <c r="T7" s="10" t="s">
        <v>25</v>
      </c>
      <c r="U7" s="10" t="s">
        <v>23</v>
      </c>
    </row>
    <row r="8" spans="1:21" x14ac:dyDescent="0.25">
      <c r="A8" s="1" t="s">
        <v>33</v>
      </c>
      <c r="B8" s="10">
        <v>473</v>
      </c>
      <c r="C8" s="10">
        <v>9260</v>
      </c>
      <c r="D8" s="19">
        <f t="shared" si="1"/>
        <v>72</v>
      </c>
      <c r="E8" s="10">
        <v>6</v>
      </c>
      <c r="F8" s="10">
        <v>6</v>
      </c>
      <c r="G8" s="10">
        <v>6</v>
      </c>
      <c r="H8" s="10">
        <v>6</v>
      </c>
      <c r="I8" s="10">
        <v>6</v>
      </c>
      <c r="J8" s="10">
        <v>6</v>
      </c>
      <c r="K8" s="10">
        <v>6</v>
      </c>
      <c r="L8" s="10">
        <v>3</v>
      </c>
      <c r="M8" s="10">
        <v>6</v>
      </c>
      <c r="N8" s="10">
        <v>3</v>
      </c>
      <c r="O8" s="10">
        <v>6</v>
      </c>
      <c r="P8" s="10">
        <v>3</v>
      </c>
      <c r="Q8" s="10">
        <v>6</v>
      </c>
      <c r="R8" s="10">
        <v>3</v>
      </c>
      <c r="S8" s="13">
        <v>45964</v>
      </c>
      <c r="T8" s="10" t="s">
        <v>25</v>
      </c>
      <c r="U8" s="10" t="s">
        <v>23</v>
      </c>
    </row>
    <row r="9" spans="1:21" x14ac:dyDescent="0.25">
      <c r="A9" s="1" t="s">
        <v>33</v>
      </c>
      <c r="B9" s="10">
        <v>474</v>
      </c>
      <c r="C9" s="10">
        <v>9264</v>
      </c>
      <c r="D9" s="19">
        <f t="shared" si="1"/>
        <v>72</v>
      </c>
      <c r="E9" s="10">
        <v>6</v>
      </c>
      <c r="F9" s="10">
        <v>6</v>
      </c>
      <c r="G9" s="10">
        <v>6</v>
      </c>
      <c r="H9" s="10">
        <v>6</v>
      </c>
      <c r="I9" s="10">
        <v>6</v>
      </c>
      <c r="J9" s="10">
        <v>6</v>
      </c>
      <c r="K9" s="10">
        <v>6</v>
      </c>
      <c r="L9" s="10">
        <v>3</v>
      </c>
      <c r="M9" s="10">
        <v>6</v>
      </c>
      <c r="N9" s="10">
        <v>3</v>
      </c>
      <c r="O9" s="10">
        <v>6</v>
      </c>
      <c r="P9" s="10">
        <v>3</v>
      </c>
      <c r="Q9" s="10">
        <v>6</v>
      </c>
      <c r="R9" s="10">
        <v>3</v>
      </c>
      <c r="S9" s="13">
        <v>45964</v>
      </c>
      <c r="T9" s="10"/>
      <c r="U9" s="10" t="s">
        <v>23</v>
      </c>
    </row>
    <row r="10" spans="1:21" x14ac:dyDescent="0.25">
      <c r="A10" s="1" t="s">
        <v>38</v>
      </c>
      <c r="B10" s="10">
        <v>475</v>
      </c>
      <c r="C10" s="10">
        <v>9211</v>
      </c>
      <c r="D10" s="19">
        <f t="shared" si="1"/>
        <v>60</v>
      </c>
      <c r="E10" s="10">
        <v>4</v>
      </c>
      <c r="F10" s="10">
        <v>4</v>
      </c>
      <c r="G10" s="10">
        <v>4</v>
      </c>
      <c r="H10" s="10">
        <v>4</v>
      </c>
      <c r="I10" s="10">
        <v>4</v>
      </c>
      <c r="J10" s="10">
        <v>4</v>
      </c>
      <c r="K10" s="10">
        <v>6</v>
      </c>
      <c r="L10" s="10">
        <v>3</v>
      </c>
      <c r="M10" s="10">
        <v>6</v>
      </c>
      <c r="N10" s="10">
        <v>3</v>
      </c>
      <c r="O10" s="10">
        <v>6</v>
      </c>
      <c r="P10" s="10">
        <v>3</v>
      </c>
      <c r="Q10" s="10">
        <v>6</v>
      </c>
      <c r="R10" s="10">
        <v>3</v>
      </c>
      <c r="S10" s="13">
        <v>45964</v>
      </c>
      <c r="T10" s="10"/>
      <c r="U10" s="10" t="s">
        <v>23</v>
      </c>
    </row>
    <row r="11" spans="1:21" x14ac:dyDescent="0.25">
      <c r="A11" s="1" t="s">
        <v>38</v>
      </c>
      <c r="B11" s="10">
        <v>476</v>
      </c>
      <c r="C11" s="10">
        <v>9226</v>
      </c>
      <c r="D11" s="19">
        <f t="shared" si="1"/>
        <v>60</v>
      </c>
      <c r="E11" s="10">
        <v>4</v>
      </c>
      <c r="F11" s="10">
        <v>4</v>
      </c>
      <c r="G11" s="10">
        <v>4</v>
      </c>
      <c r="H11" s="10">
        <v>4</v>
      </c>
      <c r="I11" s="10">
        <v>4</v>
      </c>
      <c r="J11" s="10">
        <v>4</v>
      </c>
      <c r="K11" s="10">
        <v>6</v>
      </c>
      <c r="L11" s="10">
        <v>3</v>
      </c>
      <c r="M11" s="10">
        <v>6</v>
      </c>
      <c r="N11" s="10">
        <v>3</v>
      </c>
      <c r="O11" s="10">
        <v>6</v>
      </c>
      <c r="P11" s="10">
        <v>3</v>
      </c>
      <c r="Q11" s="10">
        <v>6</v>
      </c>
      <c r="R11" s="10">
        <v>3</v>
      </c>
      <c r="S11" s="13">
        <v>45964</v>
      </c>
      <c r="T11" s="10" t="s">
        <v>23</v>
      </c>
      <c r="U11" s="10" t="s">
        <v>23</v>
      </c>
    </row>
    <row r="12" spans="1:21" x14ac:dyDescent="0.25">
      <c r="A12" s="1" t="s">
        <v>38</v>
      </c>
      <c r="B12" s="10">
        <v>477</v>
      </c>
      <c r="C12" s="10">
        <v>9226</v>
      </c>
      <c r="D12" s="19">
        <f t="shared" si="1"/>
        <v>60</v>
      </c>
      <c r="E12" s="10">
        <v>4</v>
      </c>
      <c r="F12" s="10">
        <v>4</v>
      </c>
      <c r="G12" s="10">
        <v>4</v>
      </c>
      <c r="H12" s="10">
        <v>4</v>
      </c>
      <c r="I12" s="10">
        <v>4</v>
      </c>
      <c r="J12" s="10">
        <v>4</v>
      </c>
      <c r="K12" s="10">
        <v>6</v>
      </c>
      <c r="L12" s="10">
        <v>3</v>
      </c>
      <c r="M12" s="10">
        <v>6</v>
      </c>
      <c r="N12" s="10">
        <v>3</v>
      </c>
      <c r="O12" s="10">
        <v>6</v>
      </c>
      <c r="P12" s="10">
        <v>3</v>
      </c>
      <c r="Q12" s="10">
        <v>6</v>
      </c>
      <c r="R12" s="10">
        <v>3</v>
      </c>
      <c r="S12" s="13">
        <v>45964</v>
      </c>
      <c r="T12" s="10" t="s">
        <v>23</v>
      </c>
      <c r="U12" s="10" t="s">
        <v>53</v>
      </c>
    </row>
    <row r="13" spans="1:21" x14ac:dyDescent="0.25">
      <c r="A13" s="1" t="s">
        <v>38</v>
      </c>
      <c r="B13" s="10">
        <v>478</v>
      </c>
      <c r="C13" s="10">
        <v>9213</v>
      </c>
      <c r="D13" s="19">
        <f t="shared" si="1"/>
        <v>60</v>
      </c>
      <c r="E13" s="10">
        <v>4</v>
      </c>
      <c r="F13" s="10">
        <v>4</v>
      </c>
      <c r="G13" s="10">
        <v>4</v>
      </c>
      <c r="H13" s="10">
        <v>4</v>
      </c>
      <c r="I13" s="10">
        <v>4</v>
      </c>
      <c r="J13" s="10">
        <v>4</v>
      </c>
      <c r="K13" s="10">
        <v>6</v>
      </c>
      <c r="L13" s="10">
        <v>3</v>
      </c>
      <c r="M13" s="10">
        <v>6</v>
      </c>
      <c r="N13" s="10">
        <v>3</v>
      </c>
      <c r="O13" s="10">
        <v>6</v>
      </c>
      <c r="P13" s="10">
        <v>3</v>
      </c>
      <c r="Q13" s="10">
        <v>6</v>
      </c>
      <c r="R13" s="10">
        <v>3</v>
      </c>
      <c r="S13" s="13">
        <v>45964</v>
      </c>
      <c r="T13" s="10"/>
      <c r="U13" s="10" t="s">
        <v>53</v>
      </c>
    </row>
    <row r="14" spans="1:21" x14ac:dyDescent="0.25">
      <c r="A14" s="1" t="s">
        <v>38</v>
      </c>
      <c r="B14" s="10">
        <v>479</v>
      </c>
      <c r="C14" s="10">
        <v>9213</v>
      </c>
      <c r="D14" s="19">
        <f t="shared" si="1"/>
        <v>60</v>
      </c>
      <c r="E14" s="10">
        <v>4</v>
      </c>
      <c r="F14" s="10">
        <v>4</v>
      </c>
      <c r="G14" s="10">
        <v>4</v>
      </c>
      <c r="H14" s="10">
        <v>4</v>
      </c>
      <c r="I14" s="10">
        <v>4</v>
      </c>
      <c r="J14" s="10">
        <v>4</v>
      </c>
      <c r="K14" s="10">
        <v>6</v>
      </c>
      <c r="L14" s="10">
        <v>3</v>
      </c>
      <c r="M14" s="10">
        <v>6</v>
      </c>
      <c r="N14" s="10">
        <v>3</v>
      </c>
      <c r="O14" s="10">
        <v>6</v>
      </c>
      <c r="P14" s="10">
        <v>3</v>
      </c>
      <c r="Q14" s="10">
        <v>6</v>
      </c>
      <c r="R14" s="10">
        <v>3</v>
      </c>
      <c r="S14" s="13">
        <v>45964</v>
      </c>
      <c r="T14" s="10" t="s">
        <v>53</v>
      </c>
      <c r="U14" s="10"/>
    </row>
    <row r="15" spans="1:21" x14ac:dyDescent="0.25">
      <c r="A15" s="1" t="s">
        <v>38</v>
      </c>
      <c r="B15" s="10">
        <v>480</v>
      </c>
      <c r="C15" s="10">
        <v>9213</v>
      </c>
      <c r="D15" s="19">
        <f t="shared" si="1"/>
        <v>60</v>
      </c>
      <c r="E15" s="10">
        <v>4</v>
      </c>
      <c r="F15" s="10">
        <v>4</v>
      </c>
      <c r="G15" s="10">
        <v>4</v>
      </c>
      <c r="H15" s="10">
        <v>4</v>
      </c>
      <c r="I15" s="10">
        <v>4</v>
      </c>
      <c r="J15" s="10">
        <v>4</v>
      </c>
      <c r="K15" s="10">
        <v>6</v>
      </c>
      <c r="L15" s="10">
        <v>3</v>
      </c>
      <c r="M15" s="10">
        <v>6</v>
      </c>
      <c r="N15" s="10">
        <v>3</v>
      </c>
      <c r="O15" s="10">
        <v>6</v>
      </c>
      <c r="P15" s="10">
        <v>3</v>
      </c>
      <c r="Q15" s="10">
        <v>6</v>
      </c>
      <c r="R15" s="10">
        <v>3</v>
      </c>
      <c r="S15" s="13">
        <v>45964</v>
      </c>
      <c r="T15" s="10" t="s">
        <v>53</v>
      </c>
      <c r="U15" s="10"/>
    </row>
    <row r="16" spans="1:21" x14ac:dyDescent="0.25">
      <c r="A16" s="1" t="s">
        <v>38</v>
      </c>
      <c r="B16" s="10">
        <v>481</v>
      </c>
      <c r="C16" s="10">
        <v>9228</v>
      </c>
      <c r="D16" s="19">
        <f t="shared" si="1"/>
        <v>60</v>
      </c>
      <c r="E16" s="10">
        <v>4</v>
      </c>
      <c r="F16" s="10">
        <v>4</v>
      </c>
      <c r="G16" s="10">
        <v>4</v>
      </c>
      <c r="H16" s="10">
        <v>4</v>
      </c>
      <c r="I16" s="10">
        <v>4</v>
      </c>
      <c r="J16" s="10">
        <v>4</v>
      </c>
      <c r="K16" s="10">
        <v>6</v>
      </c>
      <c r="L16" s="10">
        <v>3</v>
      </c>
      <c r="M16" s="10">
        <v>6</v>
      </c>
      <c r="N16" s="10">
        <v>3</v>
      </c>
      <c r="O16" s="10">
        <v>6</v>
      </c>
      <c r="P16" s="10">
        <v>3</v>
      </c>
      <c r="Q16" s="10">
        <v>6</v>
      </c>
      <c r="R16" s="10">
        <v>3</v>
      </c>
      <c r="S16" s="13">
        <v>45964</v>
      </c>
      <c r="T16" s="10"/>
      <c r="U16" s="10"/>
    </row>
    <row r="17" spans="1:21" x14ac:dyDescent="0.25">
      <c r="A17" s="1" t="s">
        <v>38</v>
      </c>
      <c r="B17" s="10">
        <v>482</v>
      </c>
      <c r="C17" s="10">
        <v>9228</v>
      </c>
      <c r="D17" s="19">
        <f t="shared" si="1"/>
        <v>60</v>
      </c>
      <c r="E17" s="10">
        <v>4</v>
      </c>
      <c r="F17" s="10">
        <v>4</v>
      </c>
      <c r="G17" s="10">
        <v>4</v>
      </c>
      <c r="H17" s="10">
        <v>4</v>
      </c>
      <c r="I17" s="10">
        <v>4</v>
      </c>
      <c r="J17" s="10">
        <v>4</v>
      </c>
      <c r="K17" s="10">
        <v>6</v>
      </c>
      <c r="L17" s="10">
        <v>3</v>
      </c>
      <c r="M17" s="10">
        <v>6</v>
      </c>
      <c r="N17" s="10">
        <v>3</v>
      </c>
      <c r="O17" s="10">
        <v>6</v>
      </c>
      <c r="P17" s="10">
        <v>3</v>
      </c>
      <c r="Q17" s="10">
        <v>6</v>
      </c>
      <c r="R17" s="10">
        <v>3</v>
      </c>
      <c r="S17" s="13">
        <v>45964</v>
      </c>
      <c r="T17" s="10" t="s">
        <v>23</v>
      </c>
      <c r="U17" s="10"/>
    </row>
    <row r="18" spans="1:21" x14ac:dyDescent="0.25">
      <c r="A18" s="1" t="s">
        <v>38</v>
      </c>
      <c r="B18" s="10">
        <v>483</v>
      </c>
      <c r="C18" s="10">
        <v>9214</v>
      </c>
      <c r="D18" s="19">
        <f t="shared" si="1"/>
        <v>60</v>
      </c>
      <c r="E18" s="10">
        <v>4</v>
      </c>
      <c r="F18" s="10">
        <v>4</v>
      </c>
      <c r="G18" s="10">
        <v>4</v>
      </c>
      <c r="H18" s="10">
        <v>4</v>
      </c>
      <c r="I18" s="10">
        <v>4</v>
      </c>
      <c r="J18" s="10">
        <v>4</v>
      </c>
      <c r="K18" s="10">
        <v>6</v>
      </c>
      <c r="L18" s="10">
        <v>3</v>
      </c>
      <c r="M18" s="10">
        <v>6</v>
      </c>
      <c r="N18" s="10">
        <v>3</v>
      </c>
      <c r="O18" s="10">
        <v>6</v>
      </c>
      <c r="P18" s="10">
        <v>3</v>
      </c>
      <c r="Q18" s="10">
        <v>6</v>
      </c>
      <c r="R18" s="10">
        <v>3</v>
      </c>
      <c r="S18" s="13">
        <v>45964</v>
      </c>
      <c r="T18" s="10" t="s">
        <v>59</v>
      </c>
      <c r="U18" s="10" t="s">
        <v>59</v>
      </c>
    </row>
    <row r="19" spans="1:21" x14ac:dyDescent="0.25">
      <c r="A19" s="1" t="s">
        <v>38</v>
      </c>
      <c r="B19" s="10">
        <v>484</v>
      </c>
      <c r="C19" s="10">
        <v>9219</v>
      </c>
      <c r="D19" s="19">
        <f t="shared" si="1"/>
        <v>60</v>
      </c>
      <c r="E19" s="10">
        <v>4</v>
      </c>
      <c r="F19" s="10">
        <v>4</v>
      </c>
      <c r="G19" s="10">
        <v>4</v>
      </c>
      <c r="H19" s="10">
        <v>4</v>
      </c>
      <c r="I19" s="10">
        <v>4</v>
      </c>
      <c r="J19" s="10">
        <v>4</v>
      </c>
      <c r="K19" s="10">
        <v>6</v>
      </c>
      <c r="L19" s="10">
        <v>3</v>
      </c>
      <c r="M19" s="10">
        <v>6</v>
      </c>
      <c r="N19" s="10">
        <v>3</v>
      </c>
      <c r="O19" s="10">
        <v>6</v>
      </c>
      <c r="P19" s="10">
        <v>3</v>
      </c>
      <c r="Q19" s="10">
        <v>6</v>
      </c>
      <c r="R19" s="10">
        <v>3</v>
      </c>
      <c r="S19" s="13">
        <v>45964</v>
      </c>
      <c r="T19" s="10"/>
      <c r="U19" s="10"/>
    </row>
    <row r="20" spans="1:21" x14ac:dyDescent="0.25">
      <c r="A20" s="1" t="s">
        <v>32</v>
      </c>
      <c r="B20" s="10">
        <v>485</v>
      </c>
      <c r="C20" s="10">
        <v>9226</v>
      </c>
      <c r="D20" s="19">
        <f t="shared" si="1"/>
        <v>28</v>
      </c>
      <c r="E20" s="10">
        <v>2</v>
      </c>
      <c r="F20" s="10">
        <v>2</v>
      </c>
      <c r="G20" s="10">
        <v>2</v>
      </c>
      <c r="H20" s="10">
        <v>2</v>
      </c>
      <c r="I20" s="10">
        <v>2</v>
      </c>
      <c r="J20" s="10">
        <v>2</v>
      </c>
      <c r="K20" s="10">
        <v>2</v>
      </c>
      <c r="L20" s="10">
        <v>2</v>
      </c>
      <c r="M20" s="10">
        <v>2</v>
      </c>
      <c r="N20" s="10">
        <v>2</v>
      </c>
      <c r="O20" s="10">
        <v>2</v>
      </c>
      <c r="P20" s="10">
        <v>2</v>
      </c>
      <c r="Q20" s="10">
        <v>2</v>
      </c>
      <c r="R20" s="10">
        <v>2</v>
      </c>
      <c r="S20" s="13">
        <v>45965</v>
      </c>
      <c r="T20" s="10" t="s">
        <v>23</v>
      </c>
      <c r="U20" s="10" t="s">
        <v>23</v>
      </c>
    </row>
    <row r="21" spans="1:21" x14ac:dyDescent="0.25">
      <c r="A21" s="1" t="s">
        <v>32</v>
      </c>
      <c r="B21" s="10">
        <v>486</v>
      </c>
      <c r="C21" s="10">
        <v>9218</v>
      </c>
      <c r="D21" s="19">
        <f t="shared" si="1"/>
        <v>28</v>
      </c>
      <c r="E21" s="10">
        <v>2</v>
      </c>
      <c r="F21" s="10">
        <v>2</v>
      </c>
      <c r="G21" s="10">
        <v>2</v>
      </c>
      <c r="H21" s="10">
        <v>2</v>
      </c>
      <c r="I21" s="10">
        <v>2</v>
      </c>
      <c r="J21" s="10">
        <v>2</v>
      </c>
      <c r="K21" s="10">
        <v>2</v>
      </c>
      <c r="L21" s="10">
        <v>2</v>
      </c>
      <c r="M21" s="10">
        <v>2</v>
      </c>
      <c r="N21" s="10">
        <v>2</v>
      </c>
      <c r="O21" s="10">
        <v>2</v>
      </c>
      <c r="P21" s="10">
        <v>2</v>
      </c>
      <c r="Q21" s="10">
        <v>2</v>
      </c>
      <c r="R21" s="10">
        <v>2</v>
      </c>
      <c r="S21" s="13">
        <v>45965</v>
      </c>
      <c r="T21" s="10" t="s">
        <v>23</v>
      </c>
      <c r="U21" s="10"/>
    </row>
    <row r="22" spans="1:21" x14ac:dyDescent="0.25">
      <c r="A22" s="1" t="s">
        <v>32</v>
      </c>
      <c r="B22" s="10">
        <v>487</v>
      </c>
      <c r="C22" s="10">
        <v>1001</v>
      </c>
      <c r="D22" s="19">
        <f t="shared" si="1"/>
        <v>28</v>
      </c>
      <c r="E22" s="10">
        <v>2</v>
      </c>
      <c r="F22" s="10">
        <v>2</v>
      </c>
      <c r="G22" s="10">
        <v>2</v>
      </c>
      <c r="H22" s="10">
        <v>2</v>
      </c>
      <c r="I22" s="10">
        <v>2</v>
      </c>
      <c r="J22" s="10">
        <v>2</v>
      </c>
      <c r="K22" s="10">
        <v>2</v>
      </c>
      <c r="L22" s="10">
        <v>2</v>
      </c>
      <c r="M22" s="10">
        <v>2</v>
      </c>
      <c r="N22" s="10">
        <v>2</v>
      </c>
      <c r="O22" s="10">
        <v>2</v>
      </c>
      <c r="P22" s="10">
        <v>2</v>
      </c>
      <c r="Q22" s="10">
        <v>2</v>
      </c>
      <c r="R22" s="10">
        <v>2</v>
      </c>
      <c r="S22" s="13">
        <v>45965</v>
      </c>
      <c r="T22" s="10" t="s">
        <v>25</v>
      </c>
      <c r="U22" s="10" t="s">
        <v>23</v>
      </c>
    </row>
    <row r="23" spans="1:21" x14ac:dyDescent="0.25">
      <c r="A23" s="1" t="s">
        <v>32</v>
      </c>
      <c r="B23" s="10">
        <v>488</v>
      </c>
      <c r="C23" s="10">
        <v>3000</v>
      </c>
      <c r="D23" s="19">
        <f t="shared" si="1"/>
        <v>28</v>
      </c>
      <c r="E23" s="10">
        <v>2</v>
      </c>
      <c r="F23" s="10">
        <v>2</v>
      </c>
      <c r="G23" s="10">
        <v>2</v>
      </c>
      <c r="H23" s="10">
        <v>2</v>
      </c>
      <c r="I23" s="10">
        <v>2</v>
      </c>
      <c r="J23" s="10">
        <v>2</v>
      </c>
      <c r="K23" s="10">
        <v>2</v>
      </c>
      <c r="L23" s="10">
        <v>2</v>
      </c>
      <c r="M23" s="10">
        <v>2</v>
      </c>
      <c r="N23" s="10">
        <v>2</v>
      </c>
      <c r="O23" s="10">
        <v>2</v>
      </c>
      <c r="P23" s="10">
        <v>2</v>
      </c>
      <c r="Q23" s="10">
        <v>2</v>
      </c>
      <c r="R23" s="10">
        <v>2</v>
      </c>
      <c r="S23" s="13">
        <v>45965</v>
      </c>
      <c r="T23" s="10"/>
      <c r="U23" s="10"/>
    </row>
    <row r="24" spans="1:21" x14ac:dyDescent="0.25">
      <c r="A24" s="1" t="s">
        <v>32</v>
      </c>
      <c r="B24" s="10">
        <v>489</v>
      </c>
      <c r="C24" s="10">
        <v>9232</v>
      </c>
      <c r="D24" s="19">
        <f t="shared" si="1"/>
        <v>42</v>
      </c>
      <c r="E24" s="10">
        <v>3</v>
      </c>
      <c r="F24" s="10">
        <v>3</v>
      </c>
      <c r="G24" s="10">
        <v>3</v>
      </c>
      <c r="H24" s="10">
        <v>3</v>
      </c>
      <c r="I24" s="10">
        <v>3</v>
      </c>
      <c r="J24" s="10">
        <v>3</v>
      </c>
      <c r="K24" s="10">
        <v>3</v>
      </c>
      <c r="L24" s="10">
        <v>3</v>
      </c>
      <c r="M24" s="10">
        <v>3</v>
      </c>
      <c r="N24" s="10">
        <v>3</v>
      </c>
      <c r="O24" s="10">
        <v>3</v>
      </c>
      <c r="P24" s="10">
        <v>3</v>
      </c>
      <c r="Q24" s="10">
        <v>3</v>
      </c>
      <c r="R24" s="10">
        <v>3</v>
      </c>
      <c r="S24" s="13">
        <v>45965</v>
      </c>
      <c r="T24" s="10" t="s">
        <v>25</v>
      </c>
      <c r="U24" s="10" t="s">
        <v>23</v>
      </c>
    </row>
    <row r="25" spans="1:21" x14ac:dyDescent="0.25">
      <c r="A25" s="1" t="s">
        <v>32</v>
      </c>
      <c r="B25" s="10">
        <v>490</v>
      </c>
      <c r="C25" s="10">
        <v>9231</v>
      </c>
      <c r="D25" s="19">
        <f t="shared" si="1"/>
        <v>42</v>
      </c>
      <c r="E25" s="10">
        <v>3</v>
      </c>
      <c r="F25" s="10">
        <v>3</v>
      </c>
      <c r="G25" s="10">
        <v>3</v>
      </c>
      <c r="H25" s="10">
        <v>3</v>
      </c>
      <c r="I25" s="10">
        <v>3</v>
      </c>
      <c r="J25" s="10">
        <v>3</v>
      </c>
      <c r="K25" s="10">
        <v>3</v>
      </c>
      <c r="L25" s="10">
        <v>3</v>
      </c>
      <c r="M25" s="10">
        <v>3</v>
      </c>
      <c r="N25" s="10">
        <v>3</v>
      </c>
      <c r="O25" s="10">
        <v>3</v>
      </c>
      <c r="P25" s="10">
        <v>3</v>
      </c>
      <c r="Q25" s="10">
        <v>3</v>
      </c>
      <c r="R25" s="10">
        <v>3</v>
      </c>
      <c r="S25" s="13">
        <v>45965</v>
      </c>
      <c r="T25" s="10" t="s">
        <v>25</v>
      </c>
      <c r="U25" s="10" t="s">
        <v>23</v>
      </c>
    </row>
    <row r="26" spans="1:21" x14ac:dyDescent="0.25">
      <c r="A26" s="1" t="s">
        <v>45</v>
      </c>
      <c r="B26" s="10">
        <v>499</v>
      </c>
      <c r="C26" s="10" t="s">
        <v>50</v>
      </c>
      <c r="D26" s="19">
        <f t="shared" si="1"/>
        <v>14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1</v>
      </c>
      <c r="S26" s="13">
        <v>45966</v>
      </c>
      <c r="T26" s="10"/>
      <c r="U26" s="10" t="s">
        <v>23</v>
      </c>
    </row>
    <row r="27" spans="1:21" x14ac:dyDescent="0.25">
      <c r="A27" s="1" t="s">
        <v>52</v>
      </c>
      <c r="B27" s="10">
        <v>505</v>
      </c>
      <c r="C27" s="10">
        <v>9242</v>
      </c>
      <c r="D27" s="19">
        <f t="shared" si="1"/>
        <v>42</v>
      </c>
      <c r="E27" s="10">
        <v>3</v>
      </c>
      <c r="F27" s="10">
        <v>3</v>
      </c>
      <c r="G27" s="10">
        <v>3</v>
      </c>
      <c r="H27" s="10">
        <v>3</v>
      </c>
      <c r="I27" s="10">
        <v>3</v>
      </c>
      <c r="J27" s="10">
        <v>3</v>
      </c>
      <c r="K27" s="10">
        <v>3</v>
      </c>
      <c r="L27" s="10">
        <v>3</v>
      </c>
      <c r="M27" s="10">
        <v>3</v>
      </c>
      <c r="N27" s="10">
        <v>3</v>
      </c>
      <c r="O27" s="10">
        <v>3</v>
      </c>
      <c r="P27" s="10">
        <v>3</v>
      </c>
      <c r="Q27" s="10">
        <v>3</v>
      </c>
      <c r="R27" s="10">
        <v>3</v>
      </c>
      <c r="S27" s="13">
        <v>45968</v>
      </c>
      <c r="T27" s="10" t="s">
        <v>25</v>
      </c>
      <c r="U27" s="10" t="s">
        <v>23</v>
      </c>
    </row>
    <row r="28" spans="1:21" x14ac:dyDescent="0.25">
      <c r="A28" s="1" t="s">
        <v>52</v>
      </c>
      <c r="B28" s="10">
        <v>506</v>
      </c>
      <c r="C28" s="10">
        <v>9236</v>
      </c>
      <c r="D28" s="19">
        <f t="shared" si="1"/>
        <v>42</v>
      </c>
      <c r="E28" s="10">
        <v>3</v>
      </c>
      <c r="F28" s="10">
        <v>3</v>
      </c>
      <c r="G28" s="10">
        <v>3</v>
      </c>
      <c r="H28" s="10">
        <v>3</v>
      </c>
      <c r="I28" s="10">
        <v>3</v>
      </c>
      <c r="J28" s="10">
        <v>3</v>
      </c>
      <c r="K28" s="10">
        <v>3</v>
      </c>
      <c r="L28" s="10">
        <v>3</v>
      </c>
      <c r="M28" s="10">
        <v>3</v>
      </c>
      <c r="N28" s="10">
        <v>3</v>
      </c>
      <c r="O28" s="10">
        <v>3</v>
      </c>
      <c r="P28" s="10">
        <v>3</v>
      </c>
      <c r="Q28" s="10">
        <v>3</v>
      </c>
      <c r="R28" s="10">
        <v>3</v>
      </c>
      <c r="S28" s="13">
        <v>45968</v>
      </c>
      <c r="T28" s="10" t="s">
        <v>25</v>
      </c>
      <c r="U28" s="10" t="s">
        <v>25</v>
      </c>
    </row>
    <row r="29" spans="1:21" x14ac:dyDescent="0.25">
      <c r="A29" s="1" t="s">
        <v>52</v>
      </c>
      <c r="B29" s="10">
        <v>507</v>
      </c>
      <c r="C29" s="10">
        <v>9246</v>
      </c>
      <c r="D29" s="19">
        <f t="shared" si="1"/>
        <v>42</v>
      </c>
      <c r="E29" s="10">
        <v>3</v>
      </c>
      <c r="F29" s="10">
        <v>3</v>
      </c>
      <c r="G29" s="10">
        <v>3</v>
      </c>
      <c r="H29" s="10">
        <v>3</v>
      </c>
      <c r="I29" s="10">
        <v>3</v>
      </c>
      <c r="J29" s="10">
        <v>3</v>
      </c>
      <c r="K29" s="10">
        <v>3</v>
      </c>
      <c r="L29" s="10">
        <v>3</v>
      </c>
      <c r="M29" s="10">
        <v>3</v>
      </c>
      <c r="N29" s="10">
        <v>3</v>
      </c>
      <c r="O29" s="10">
        <v>3</v>
      </c>
      <c r="P29" s="10">
        <v>3</v>
      </c>
      <c r="Q29" s="10">
        <v>3</v>
      </c>
      <c r="R29" s="10">
        <v>3</v>
      </c>
      <c r="S29" s="13">
        <v>45968</v>
      </c>
      <c r="T29" s="10" t="s">
        <v>25</v>
      </c>
      <c r="U29" s="10" t="s">
        <v>23</v>
      </c>
    </row>
    <row r="30" spans="1:21" x14ac:dyDescent="0.25">
      <c r="D30" s="20">
        <f>SUM(D3:D29)</f>
        <v>1368</v>
      </c>
    </row>
  </sheetData>
  <mergeCells count="4">
    <mergeCell ref="A1:D1"/>
    <mergeCell ref="E1:R1"/>
    <mergeCell ref="S1:S2"/>
    <mergeCell ref="T1:U1"/>
  </mergeCells>
  <pageMargins left="0.7" right="0.7" top="0.75" bottom="0.75" header="0.3" footer="0.3"/>
  <ignoredErrors>
    <ignoredError sqref="D3:D5 D6:D26 D27:D29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"/>
  <sheetViews>
    <sheetView topLeftCell="A7" workbookViewId="0">
      <selection activeCell="G15" sqref="G15"/>
    </sheetView>
  </sheetViews>
  <sheetFormatPr defaultColWidth="11.42578125" defaultRowHeight="15" x14ac:dyDescent="0.25"/>
  <cols>
    <col min="1" max="1" width="16.85546875" customWidth="1"/>
    <col min="5" max="5" width="3.7109375" customWidth="1"/>
    <col min="6" max="6" width="5.28515625" customWidth="1"/>
    <col min="7" max="7" width="4.42578125" customWidth="1"/>
    <col min="8" max="8" width="5.28515625" customWidth="1"/>
    <col min="9" max="9" width="4.5703125" customWidth="1"/>
    <col min="10" max="10" width="4.85546875" customWidth="1"/>
    <col min="11" max="11" width="4.42578125" customWidth="1"/>
    <col min="12" max="12" width="5.42578125" customWidth="1"/>
    <col min="13" max="13" width="4.42578125" customWidth="1"/>
    <col min="14" max="14" width="5.140625" customWidth="1"/>
    <col min="15" max="15" width="4.5703125" customWidth="1"/>
    <col min="16" max="16" width="5.5703125" customWidth="1"/>
    <col min="17" max="17" width="4.28515625" customWidth="1"/>
    <col min="18" max="18" width="5.140625" customWidth="1"/>
    <col min="19" max="19" width="17" customWidth="1"/>
    <col min="20" max="20" width="14.5703125" customWidth="1"/>
    <col min="21" max="21" width="14.42578125" customWidth="1"/>
  </cols>
  <sheetData>
    <row r="1" spans="1:21" ht="18.75" x14ac:dyDescent="0.25">
      <c r="A1" s="63" t="s">
        <v>55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6" t="s">
        <v>0</v>
      </c>
      <c r="B2" s="6" t="s">
        <v>1</v>
      </c>
      <c r="C2" s="6" t="s">
        <v>3</v>
      </c>
      <c r="D2" s="6" t="s">
        <v>2</v>
      </c>
      <c r="E2" s="6">
        <v>15</v>
      </c>
      <c r="F2" s="6">
        <v>15.5</v>
      </c>
      <c r="G2" s="6">
        <v>16</v>
      </c>
      <c r="H2" s="6">
        <v>16.5</v>
      </c>
      <c r="I2" s="6">
        <v>17</v>
      </c>
      <c r="J2" s="6">
        <v>17.5</v>
      </c>
      <c r="K2" s="6">
        <v>18</v>
      </c>
      <c r="L2" s="6">
        <v>18.5</v>
      </c>
      <c r="M2" s="6">
        <v>19</v>
      </c>
      <c r="N2" s="6">
        <v>19.5</v>
      </c>
      <c r="O2" s="6">
        <v>20</v>
      </c>
      <c r="P2" s="6">
        <v>20.5</v>
      </c>
      <c r="Q2" s="6">
        <v>21</v>
      </c>
      <c r="R2" s="6">
        <v>21.5</v>
      </c>
      <c r="S2" s="65"/>
      <c r="T2" s="6" t="s">
        <v>9</v>
      </c>
      <c r="U2" s="6" t="s">
        <v>10</v>
      </c>
    </row>
    <row r="3" spans="1:21" x14ac:dyDescent="0.25">
      <c r="A3" s="1" t="s">
        <v>54</v>
      </c>
      <c r="B3" s="10">
        <v>509</v>
      </c>
      <c r="C3" s="10">
        <v>9211</v>
      </c>
      <c r="D3" s="19">
        <f>SUM(E3:R3)</f>
        <v>14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3">
        <v>45975</v>
      </c>
      <c r="T3" s="10" t="s">
        <v>53</v>
      </c>
      <c r="U3" s="10" t="s">
        <v>53</v>
      </c>
    </row>
    <row r="4" spans="1:21" x14ac:dyDescent="0.25">
      <c r="A4" s="1" t="s">
        <v>54</v>
      </c>
      <c r="B4" s="10">
        <v>510</v>
      </c>
      <c r="C4" s="10">
        <v>3002</v>
      </c>
      <c r="D4" s="19">
        <f t="shared" ref="D4:D9" si="0">SUM(E4:R4)</f>
        <v>14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3">
        <v>45975</v>
      </c>
      <c r="T4" s="10"/>
      <c r="U4" s="10"/>
    </row>
    <row r="5" spans="1:21" x14ac:dyDescent="0.25">
      <c r="A5" s="1" t="s">
        <v>54</v>
      </c>
      <c r="B5" s="10">
        <v>511</v>
      </c>
      <c r="C5" s="10">
        <v>9214</v>
      </c>
      <c r="D5" s="19">
        <f t="shared" si="0"/>
        <v>14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3">
        <v>45975</v>
      </c>
      <c r="T5" s="10" t="s">
        <v>59</v>
      </c>
      <c r="U5" s="10" t="s">
        <v>59</v>
      </c>
    </row>
    <row r="6" spans="1:21" x14ac:dyDescent="0.25">
      <c r="A6" s="1" t="s">
        <v>54</v>
      </c>
      <c r="B6" s="10">
        <v>512</v>
      </c>
      <c r="C6" s="10">
        <v>9225</v>
      </c>
      <c r="D6" s="19">
        <f t="shared" si="0"/>
        <v>14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3">
        <v>45975</v>
      </c>
      <c r="T6" s="10"/>
      <c r="U6" s="10" t="s">
        <v>23</v>
      </c>
    </row>
    <row r="7" spans="1:21" x14ac:dyDescent="0.25">
      <c r="A7" s="1" t="s">
        <v>54</v>
      </c>
      <c r="B7" s="10">
        <v>513</v>
      </c>
      <c r="C7" s="10">
        <v>9213</v>
      </c>
      <c r="D7" s="19">
        <f t="shared" si="0"/>
        <v>14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3">
        <v>45975</v>
      </c>
      <c r="T7" s="10" t="s">
        <v>53</v>
      </c>
      <c r="U7" s="10"/>
    </row>
    <row r="8" spans="1:21" x14ac:dyDescent="0.25">
      <c r="A8" s="1" t="s">
        <v>54</v>
      </c>
      <c r="B8" s="10">
        <v>514</v>
      </c>
      <c r="C8" s="10">
        <v>1002</v>
      </c>
      <c r="D8" s="19">
        <f t="shared" si="0"/>
        <v>14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3">
        <v>45975</v>
      </c>
      <c r="T8" s="10" t="s">
        <v>25</v>
      </c>
      <c r="U8" s="10" t="s">
        <v>53</v>
      </c>
    </row>
    <row r="9" spans="1:21" x14ac:dyDescent="0.25">
      <c r="A9" s="1" t="s">
        <v>54</v>
      </c>
      <c r="B9" s="10">
        <v>515</v>
      </c>
      <c r="C9" s="10">
        <v>9213</v>
      </c>
      <c r="D9" s="19">
        <f t="shared" si="0"/>
        <v>14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3">
        <v>45975</v>
      </c>
      <c r="T9" s="10" t="s">
        <v>53</v>
      </c>
      <c r="U9" s="10"/>
    </row>
    <row r="10" spans="1:21" x14ac:dyDescent="0.25">
      <c r="D10" s="19">
        <f>SUM(D3:D9)</f>
        <v>98</v>
      </c>
    </row>
  </sheetData>
  <mergeCells count="4">
    <mergeCell ref="A1:D1"/>
    <mergeCell ref="E1:R1"/>
    <mergeCell ref="S1:S2"/>
    <mergeCell ref="T1:U1"/>
  </mergeCells>
  <pageMargins left="0.7" right="0.7" top="0.75" bottom="0.75" header="0.3" footer="0.3"/>
  <ignoredErrors>
    <ignoredError sqref="D3:D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4"/>
  <sheetViews>
    <sheetView topLeftCell="A40" workbookViewId="0">
      <selection activeCell="A40" sqref="A40:XFD40"/>
    </sheetView>
  </sheetViews>
  <sheetFormatPr defaultColWidth="11.42578125" defaultRowHeight="15" x14ac:dyDescent="0.25"/>
  <cols>
    <col min="1" max="1" width="21.7109375" customWidth="1"/>
    <col min="5" max="5" width="4.7109375" customWidth="1"/>
    <col min="6" max="6" width="5.28515625" customWidth="1"/>
    <col min="7" max="8" width="4.85546875" customWidth="1"/>
    <col min="9" max="9" width="3.85546875" customWidth="1"/>
    <col min="10" max="10" width="6.42578125" customWidth="1"/>
    <col min="11" max="11" width="4.5703125" customWidth="1"/>
    <col min="12" max="12" width="5" customWidth="1"/>
    <col min="13" max="13" width="4.7109375" customWidth="1"/>
    <col min="14" max="14" width="5.5703125" customWidth="1"/>
    <col min="15" max="15" width="5.140625" customWidth="1"/>
    <col min="16" max="16" width="5.5703125" customWidth="1"/>
    <col min="17" max="17" width="4.7109375" customWidth="1"/>
    <col min="18" max="18" width="5.28515625" customWidth="1"/>
    <col min="19" max="19" width="17.5703125" customWidth="1"/>
    <col min="20" max="20" width="13.28515625" customWidth="1"/>
    <col min="21" max="21" width="13.85546875" customWidth="1"/>
  </cols>
  <sheetData>
    <row r="1" spans="1:21" ht="18.75" x14ac:dyDescent="0.25">
      <c r="A1" s="63" t="s">
        <v>57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6" t="s">
        <v>0</v>
      </c>
      <c r="B2" s="6" t="s">
        <v>1</v>
      </c>
      <c r="C2" s="6" t="s">
        <v>3</v>
      </c>
      <c r="D2" s="12" t="s">
        <v>2</v>
      </c>
      <c r="E2" s="6">
        <v>15</v>
      </c>
      <c r="F2" s="6">
        <v>15.5</v>
      </c>
      <c r="G2" s="6">
        <v>16</v>
      </c>
      <c r="H2" s="6">
        <v>16.5</v>
      </c>
      <c r="I2" s="6">
        <v>17</v>
      </c>
      <c r="J2" s="6">
        <v>17.5</v>
      </c>
      <c r="K2" s="6">
        <v>18</v>
      </c>
      <c r="L2" s="6">
        <v>18.5</v>
      </c>
      <c r="M2" s="6">
        <v>19</v>
      </c>
      <c r="N2" s="6">
        <v>19.5</v>
      </c>
      <c r="O2" s="6">
        <v>20</v>
      </c>
      <c r="P2" s="6">
        <v>20.5</v>
      </c>
      <c r="Q2" s="6">
        <v>21</v>
      </c>
      <c r="R2" s="6">
        <v>21.5</v>
      </c>
      <c r="S2" s="65"/>
      <c r="T2" s="6" t="s">
        <v>9</v>
      </c>
      <c r="U2" s="6" t="s">
        <v>10</v>
      </c>
    </row>
    <row r="3" spans="1:21" x14ac:dyDescent="0.25">
      <c r="A3" s="1" t="s">
        <v>56</v>
      </c>
      <c r="B3" s="10">
        <v>516</v>
      </c>
      <c r="C3" s="10">
        <v>9220</v>
      </c>
      <c r="D3" s="19">
        <v>44</v>
      </c>
      <c r="E3" s="10">
        <v>1</v>
      </c>
      <c r="F3" s="10"/>
      <c r="G3" s="10"/>
      <c r="H3" s="10"/>
      <c r="I3" s="10"/>
      <c r="J3" s="10"/>
      <c r="K3" s="10"/>
      <c r="L3" s="10"/>
      <c r="M3" s="10">
        <v>1</v>
      </c>
      <c r="N3" s="10"/>
      <c r="O3" s="10">
        <v>1</v>
      </c>
      <c r="P3" s="10"/>
      <c r="Q3" s="10"/>
      <c r="R3" s="10"/>
      <c r="S3" s="13">
        <v>45978</v>
      </c>
      <c r="T3" s="10"/>
      <c r="U3" s="10"/>
    </row>
    <row r="4" spans="1:21" x14ac:dyDescent="0.25">
      <c r="A4" s="1" t="s">
        <v>58</v>
      </c>
      <c r="B4" s="10">
        <v>517</v>
      </c>
      <c r="C4" s="10">
        <v>9201</v>
      </c>
      <c r="D4" s="19">
        <f t="shared" ref="D4:D42" si="0">SUM(E4:R4)</f>
        <v>30</v>
      </c>
      <c r="E4" s="10"/>
      <c r="F4" s="10"/>
      <c r="G4" s="10"/>
      <c r="H4" s="10"/>
      <c r="I4" s="10">
        <v>3</v>
      </c>
      <c r="J4" s="10">
        <v>3</v>
      </c>
      <c r="K4" s="10">
        <v>3</v>
      </c>
      <c r="L4" s="10">
        <v>3</v>
      </c>
      <c r="M4" s="10">
        <v>3</v>
      </c>
      <c r="N4" s="10">
        <v>3</v>
      </c>
      <c r="O4" s="10">
        <v>3</v>
      </c>
      <c r="P4" s="10">
        <v>3</v>
      </c>
      <c r="Q4" s="10">
        <v>3</v>
      </c>
      <c r="R4" s="10">
        <v>3</v>
      </c>
      <c r="S4" s="13">
        <v>45978</v>
      </c>
      <c r="T4" s="10" t="s">
        <v>53</v>
      </c>
      <c r="U4" s="10" t="s">
        <v>53</v>
      </c>
    </row>
    <row r="5" spans="1:21" x14ac:dyDescent="0.25">
      <c r="A5" s="1" t="s">
        <v>58</v>
      </c>
      <c r="B5" s="10">
        <v>518</v>
      </c>
      <c r="C5" s="10">
        <v>9201</v>
      </c>
      <c r="D5" s="19">
        <f t="shared" si="0"/>
        <v>30</v>
      </c>
      <c r="E5" s="10"/>
      <c r="F5" s="10"/>
      <c r="G5" s="10"/>
      <c r="H5" s="10"/>
      <c r="I5" s="10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  <c r="P5" s="10">
        <v>3</v>
      </c>
      <c r="Q5" s="10">
        <v>3</v>
      </c>
      <c r="R5" s="10">
        <v>3</v>
      </c>
      <c r="S5" s="13">
        <v>45978</v>
      </c>
      <c r="T5" s="10" t="s">
        <v>53</v>
      </c>
      <c r="U5" s="10" t="s">
        <v>53</v>
      </c>
    </row>
    <row r="6" spans="1:21" x14ac:dyDescent="0.25">
      <c r="A6" s="1" t="s">
        <v>58</v>
      </c>
      <c r="B6" s="10">
        <v>519</v>
      </c>
      <c r="C6" s="10">
        <v>9213</v>
      </c>
      <c r="D6" s="19">
        <f t="shared" si="0"/>
        <v>30</v>
      </c>
      <c r="E6" s="10"/>
      <c r="F6" s="10"/>
      <c r="G6" s="10"/>
      <c r="H6" s="10"/>
      <c r="I6" s="10">
        <v>3</v>
      </c>
      <c r="J6" s="10">
        <v>3</v>
      </c>
      <c r="K6" s="10">
        <v>3</v>
      </c>
      <c r="L6" s="10">
        <v>3</v>
      </c>
      <c r="M6" s="10">
        <v>3</v>
      </c>
      <c r="N6" s="10">
        <v>3</v>
      </c>
      <c r="O6" s="10">
        <v>3</v>
      </c>
      <c r="P6" s="10">
        <v>3</v>
      </c>
      <c r="Q6" s="10">
        <v>3</v>
      </c>
      <c r="R6" s="10">
        <v>3</v>
      </c>
      <c r="S6" s="13">
        <v>45978</v>
      </c>
      <c r="T6" s="10" t="s">
        <v>59</v>
      </c>
      <c r="U6" s="10"/>
    </row>
    <row r="7" spans="1:21" x14ac:dyDescent="0.25">
      <c r="A7" s="1" t="s">
        <v>58</v>
      </c>
      <c r="B7" s="10">
        <v>520</v>
      </c>
      <c r="C7" s="10">
        <v>9213</v>
      </c>
      <c r="D7" s="19">
        <f t="shared" si="0"/>
        <v>30</v>
      </c>
      <c r="E7" s="10"/>
      <c r="F7" s="10"/>
      <c r="G7" s="10"/>
      <c r="H7" s="10"/>
      <c r="I7" s="10">
        <v>3</v>
      </c>
      <c r="J7" s="10">
        <v>3</v>
      </c>
      <c r="K7" s="10">
        <v>3</v>
      </c>
      <c r="L7" s="10">
        <v>3</v>
      </c>
      <c r="M7" s="10">
        <v>3</v>
      </c>
      <c r="N7" s="10">
        <v>3</v>
      </c>
      <c r="O7" s="10">
        <v>3</v>
      </c>
      <c r="P7" s="10">
        <v>3</v>
      </c>
      <c r="Q7" s="10">
        <v>3</v>
      </c>
      <c r="R7" s="10">
        <v>3</v>
      </c>
      <c r="S7" s="13">
        <v>45978</v>
      </c>
      <c r="T7" s="10" t="s">
        <v>59</v>
      </c>
      <c r="U7" s="10"/>
    </row>
    <row r="8" spans="1:21" x14ac:dyDescent="0.25">
      <c r="A8" s="1" t="s">
        <v>58</v>
      </c>
      <c r="B8" s="10">
        <v>521</v>
      </c>
      <c r="C8" s="10">
        <v>9213</v>
      </c>
      <c r="D8" s="19">
        <f t="shared" si="0"/>
        <v>30</v>
      </c>
      <c r="E8" s="10"/>
      <c r="F8" s="10"/>
      <c r="G8" s="10"/>
      <c r="H8" s="10"/>
      <c r="I8" s="10">
        <v>3</v>
      </c>
      <c r="J8" s="10">
        <v>3</v>
      </c>
      <c r="K8" s="10">
        <v>3</v>
      </c>
      <c r="L8" s="10">
        <v>3</v>
      </c>
      <c r="M8" s="10">
        <v>3</v>
      </c>
      <c r="N8" s="10">
        <v>3</v>
      </c>
      <c r="O8" s="10">
        <v>3</v>
      </c>
      <c r="P8" s="10">
        <v>3</v>
      </c>
      <c r="Q8" s="10">
        <v>3</v>
      </c>
      <c r="R8" s="10">
        <v>3</v>
      </c>
      <c r="S8" s="13">
        <v>45978</v>
      </c>
      <c r="T8" s="10" t="s">
        <v>59</v>
      </c>
      <c r="U8" s="10"/>
    </row>
    <row r="9" spans="1:21" x14ac:dyDescent="0.25">
      <c r="A9" s="1" t="s">
        <v>32</v>
      </c>
      <c r="B9" s="10">
        <v>522</v>
      </c>
      <c r="C9" s="10">
        <v>9220</v>
      </c>
      <c r="D9" s="19">
        <f t="shared" si="0"/>
        <v>44</v>
      </c>
      <c r="E9" s="10">
        <v>2</v>
      </c>
      <c r="F9" s="10">
        <v>2</v>
      </c>
      <c r="G9" s="10">
        <v>2</v>
      </c>
      <c r="H9" s="10">
        <v>2</v>
      </c>
      <c r="I9" s="10">
        <v>2</v>
      </c>
      <c r="J9" s="10">
        <v>2</v>
      </c>
      <c r="K9" s="10">
        <v>4</v>
      </c>
      <c r="L9" s="10">
        <v>4</v>
      </c>
      <c r="M9" s="10">
        <v>4</v>
      </c>
      <c r="N9" s="10">
        <v>4</v>
      </c>
      <c r="O9" s="10">
        <v>4</v>
      </c>
      <c r="P9" s="10">
        <v>4</v>
      </c>
      <c r="Q9" s="10">
        <v>4</v>
      </c>
      <c r="R9" s="10">
        <v>4</v>
      </c>
      <c r="S9" s="13">
        <v>45978</v>
      </c>
      <c r="T9" s="10" t="s">
        <v>25</v>
      </c>
      <c r="U9" s="10" t="s">
        <v>25</v>
      </c>
    </row>
    <row r="10" spans="1:21" x14ac:dyDescent="0.25">
      <c r="A10" s="1" t="s">
        <v>32</v>
      </c>
      <c r="B10" s="10">
        <v>523</v>
      </c>
      <c r="C10" s="10">
        <v>9201</v>
      </c>
      <c r="D10" s="19">
        <f t="shared" si="0"/>
        <v>44</v>
      </c>
      <c r="E10" s="10">
        <v>2</v>
      </c>
      <c r="F10" s="10">
        <v>2</v>
      </c>
      <c r="G10" s="10">
        <v>2</v>
      </c>
      <c r="H10" s="10">
        <v>2</v>
      </c>
      <c r="I10" s="10">
        <v>2</v>
      </c>
      <c r="J10" s="10">
        <v>2</v>
      </c>
      <c r="K10" s="10">
        <v>4</v>
      </c>
      <c r="L10" s="10">
        <v>4</v>
      </c>
      <c r="M10" s="10">
        <v>4</v>
      </c>
      <c r="N10" s="10">
        <v>4</v>
      </c>
      <c r="O10" s="10">
        <v>4</v>
      </c>
      <c r="P10" s="10">
        <v>4</v>
      </c>
      <c r="Q10" s="10">
        <v>4</v>
      </c>
      <c r="R10" s="10">
        <v>4</v>
      </c>
      <c r="S10" s="13">
        <v>45978</v>
      </c>
      <c r="T10" s="10" t="s">
        <v>25</v>
      </c>
      <c r="U10" s="10" t="s">
        <v>25</v>
      </c>
    </row>
    <row r="11" spans="1:21" x14ac:dyDescent="0.25">
      <c r="A11" s="1" t="s">
        <v>32</v>
      </c>
      <c r="B11" s="10">
        <v>524</v>
      </c>
      <c r="C11" s="10">
        <v>9227</v>
      </c>
      <c r="D11" s="19">
        <f t="shared" si="0"/>
        <v>44</v>
      </c>
      <c r="E11" s="10">
        <v>2</v>
      </c>
      <c r="F11" s="10">
        <v>2</v>
      </c>
      <c r="G11" s="10">
        <v>2</v>
      </c>
      <c r="H11" s="10">
        <v>2</v>
      </c>
      <c r="I11" s="10">
        <v>2</v>
      </c>
      <c r="J11" s="10">
        <v>2</v>
      </c>
      <c r="K11" s="10">
        <v>4</v>
      </c>
      <c r="L11" s="10">
        <v>4</v>
      </c>
      <c r="M11" s="10">
        <v>4</v>
      </c>
      <c r="N11" s="10">
        <v>4</v>
      </c>
      <c r="O11" s="10">
        <v>4</v>
      </c>
      <c r="P11" s="10">
        <v>4</v>
      </c>
      <c r="Q11" s="10">
        <v>4</v>
      </c>
      <c r="R11" s="10">
        <v>4</v>
      </c>
      <c r="S11" s="13">
        <v>45978</v>
      </c>
      <c r="T11" s="10" t="s">
        <v>25</v>
      </c>
      <c r="U11" s="10" t="s">
        <v>25</v>
      </c>
    </row>
    <row r="12" spans="1:21" x14ac:dyDescent="0.25">
      <c r="A12" s="1" t="s">
        <v>29</v>
      </c>
      <c r="B12" s="10">
        <v>525</v>
      </c>
      <c r="C12" s="10">
        <v>9226</v>
      </c>
      <c r="D12" s="19">
        <f t="shared" si="0"/>
        <v>24</v>
      </c>
      <c r="E12" s="10">
        <v>2</v>
      </c>
      <c r="F12" s="10">
        <v>2</v>
      </c>
      <c r="G12" s="10">
        <v>2</v>
      </c>
      <c r="H12" s="10">
        <v>2</v>
      </c>
      <c r="I12" s="10">
        <v>2</v>
      </c>
      <c r="J12" s="10">
        <v>2</v>
      </c>
      <c r="K12" s="10">
        <v>2</v>
      </c>
      <c r="L12" s="10">
        <v>1</v>
      </c>
      <c r="M12" s="10">
        <v>2</v>
      </c>
      <c r="N12" s="10">
        <v>1</v>
      </c>
      <c r="O12" s="10">
        <v>2</v>
      </c>
      <c r="P12" s="10">
        <v>1</v>
      </c>
      <c r="Q12" s="10">
        <v>2</v>
      </c>
      <c r="R12" s="10">
        <v>1</v>
      </c>
      <c r="S12" s="13">
        <v>45978</v>
      </c>
      <c r="T12" s="10"/>
      <c r="U12" s="10"/>
    </row>
    <row r="13" spans="1:21" x14ac:dyDescent="0.25">
      <c r="A13" s="1" t="s">
        <v>29</v>
      </c>
      <c r="B13" s="10">
        <v>526</v>
      </c>
      <c r="C13" s="10">
        <v>9226</v>
      </c>
      <c r="D13" s="19">
        <f t="shared" si="0"/>
        <v>24</v>
      </c>
      <c r="E13" s="10">
        <v>2</v>
      </c>
      <c r="F13" s="10">
        <v>2</v>
      </c>
      <c r="G13" s="10">
        <v>2</v>
      </c>
      <c r="H13" s="10">
        <v>2</v>
      </c>
      <c r="I13" s="10">
        <v>2</v>
      </c>
      <c r="J13" s="10">
        <v>2</v>
      </c>
      <c r="K13" s="10">
        <v>2</v>
      </c>
      <c r="L13" s="10">
        <v>1</v>
      </c>
      <c r="M13" s="10">
        <v>2</v>
      </c>
      <c r="N13" s="10">
        <v>1</v>
      </c>
      <c r="O13" s="10">
        <v>2</v>
      </c>
      <c r="P13" s="10">
        <v>1</v>
      </c>
      <c r="Q13" s="10">
        <v>2</v>
      </c>
      <c r="R13" s="10">
        <v>1</v>
      </c>
      <c r="S13" s="13">
        <v>45978</v>
      </c>
      <c r="T13" s="10"/>
      <c r="U13" s="10"/>
    </row>
    <row r="14" spans="1:21" x14ac:dyDescent="0.25">
      <c r="A14" s="1" t="s">
        <v>29</v>
      </c>
      <c r="B14" s="10">
        <v>527</v>
      </c>
      <c r="C14" s="10">
        <v>9201</v>
      </c>
      <c r="D14" s="19">
        <f t="shared" si="0"/>
        <v>24</v>
      </c>
      <c r="E14" s="10">
        <v>2</v>
      </c>
      <c r="F14" s="10">
        <v>2</v>
      </c>
      <c r="G14" s="10">
        <v>2</v>
      </c>
      <c r="H14" s="10">
        <v>2</v>
      </c>
      <c r="I14" s="10">
        <v>2</v>
      </c>
      <c r="J14" s="10">
        <v>2</v>
      </c>
      <c r="K14" s="10">
        <v>2</v>
      </c>
      <c r="L14" s="10">
        <v>1</v>
      </c>
      <c r="M14" s="10">
        <v>2</v>
      </c>
      <c r="N14" s="10">
        <v>1</v>
      </c>
      <c r="O14" s="10">
        <v>2</v>
      </c>
      <c r="P14" s="10">
        <v>1</v>
      </c>
      <c r="Q14" s="10">
        <v>2</v>
      </c>
      <c r="R14" s="10">
        <v>1</v>
      </c>
      <c r="S14" s="13">
        <v>45978</v>
      </c>
      <c r="T14" s="10" t="s">
        <v>53</v>
      </c>
      <c r="U14" s="10" t="s">
        <v>53</v>
      </c>
    </row>
    <row r="15" spans="1:21" x14ac:dyDescent="0.25">
      <c r="A15" s="1" t="s">
        <v>29</v>
      </c>
      <c r="B15" s="10">
        <v>528</v>
      </c>
      <c r="C15" s="10">
        <v>9201</v>
      </c>
      <c r="D15" s="19">
        <f t="shared" si="0"/>
        <v>24</v>
      </c>
      <c r="E15" s="10">
        <v>2</v>
      </c>
      <c r="F15" s="10">
        <v>2</v>
      </c>
      <c r="G15" s="10">
        <v>2</v>
      </c>
      <c r="H15" s="10">
        <v>2</v>
      </c>
      <c r="I15" s="10">
        <v>2</v>
      </c>
      <c r="J15" s="10">
        <v>2</v>
      </c>
      <c r="K15" s="10">
        <v>2</v>
      </c>
      <c r="L15" s="10">
        <v>1</v>
      </c>
      <c r="M15" s="10">
        <v>2</v>
      </c>
      <c r="N15" s="10">
        <v>1</v>
      </c>
      <c r="O15" s="10">
        <v>2</v>
      </c>
      <c r="P15" s="10">
        <v>1</v>
      </c>
      <c r="Q15" s="10">
        <v>2</v>
      </c>
      <c r="R15" s="10">
        <v>1</v>
      </c>
      <c r="S15" s="13">
        <v>45978</v>
      </c>
      <c r="T15" s="10" t="s">
        <v>53</v>
      </c>
      <c r="U15" s="10"/>
    </row>
    <row r="16" spans="1:21" x14ac:dyDescent="0.25">
      <c r="A16" s="1" t="s">
        <v>29</v>
      </c>
      <c r="B16" s="10">
        <v>529</v>
      </c>
      <c r="C16" s="10">
        <v>9213</v>
      </c>
      <c r="D16" s="19">
        <f t="shared" si="0"/>
        <v>48</v>
      </c>
      <c r="E16" s="10">
        <v>4</v>
      </c>
      <c r="F16" s="10">
        <v>4</v>
      </c>
      <c r="G16" s="10">
        <v>4</v>
      </c>
      <c r="H16" s="10">
        <v>4</v>
      </c>
      <c r="I16" s="10">
        <v>4</v>
      </c>
      <c r="J16" s="10">
        <v>4</v>
      </c>
      <c r="K16" s="10">
        <v>4</v>
      </c>
      <c r="L16" s="10">
        <v>2</v>
      </c>
      <c r="M16" s="10">
        <v>4</v>
      </c>
      <c r="N16" s="10">
        <v>2</v>
      </c>
      <c r="O16" s="10">
        <v>4</v>
      </c>
      <c r="P16" s="10">
        <v>2</v>
      </c>
      <c r="Q16" s="10">
        <v>4</v>
      </c>
      <c r="R16" s="10">
        <v>2</v>
      </c>
      <c r="S16" s="13">
        <v>45978</v>
      </c>
      <c r="T16" s="10" t="s">
        <v>53</v>
      </c>
      <c r="U16" s="10" t="s">
        <v>53</v>
      </c>
    </row>
    <row r="17" spans="1:21" x14ac:dyDescent="0.25">
      <c r="A17" s="1" t="s">
        <v>29</v>
      </c>
      <c r="B17" s="10">
        <v>530</v>
      </c>
      <c r="C17" s="10">
        <v>9205</v>
      </c>
      <c r="D17" s="19">
        <f t="shared" ref="D17" si="1">SUM(E17:R17)</f>
        <v>48</v>
      </c>
      <c r="E17" s="10">
        <v>4</v>
      </c>
      <c r="F17" s="10">
        <v>4</v>
      </c>
      <c r="G17" s="10">
        <v>4</v>
      </c>
      <c r="H17" s="10">
        <v>4</v>
      </c>
      <c r="I17" s="10">
        <v>4</v>
      </c>
      <c r="J17" s="10">
        <v>4</v>
      </c>
      <c r="K17" s="10">
        <v>4</v>
      </c>
      <c r="L17" s="10">
        <v>2</v>
      </c>
      <c r="M17" s="10">
        <v>4</v>
      </c>
      <c r="N17" s="10">
        <v>2</v>
      </c>
      <c r="O17" s="10">
        <v>4</v>
      </c>
      <c r="P17" s="10">
        <v>2</v>
      </c>
      <c r="Q17" s="10">
        <v>4</v>
      </c>
      <c r="R17" s="10">
        <v>2</v>
      </c>
      <c r="S17" s="13">
        <v>45978</v>
      </c>
      <c r="T17" s="10" t="s">
        <v>53</v>
      </c>
      <c r="U17" s="10" t="s">
        <v>53</v>
      </c>
    </row>
    <row r="18" spans="1:21" x14ac:dyDescent="0.25">
      <c r="A18" s="1" t="s">
        <v>29</v>
      </c>
      <c r="B18" s="10">
        <v>531</v>
      </c>
      <c r="C18" s="10">
        <v>9214</v>
      </c>
      <c r="D18" s="19">
        <f t="shared" si="0"/>
        <v>24</v>
      </c>
      <c r="E18" s="10">
        <v>2</v>
      </c>
      <c r="F18" s="10">
        <v>2</v>
      </c>
      <c r="G18" s="10">
        <v>2</v>
      </c>
      <c r="H18" s="10">
        <v>2</v>
      </c>
      <c r="I18" s="10">
        <v>2</v>
      </c>
      <c r="J18" s="10">
        <v>2</v>
      </c>
      <c r="K18" s="10">
        <v>2</v>
      </c>
      <c r="L18" s="10">
        <v>1</v>
      </c>
      <c r="M18" s="10">
        <v>2</v>
      </c>
      <c r="N18" s="10">
        <v>1</v>
      </c>
      <c r="O18" s="10">
        <v>2</v>
      </c>
      <c r="P18" s="10">
        <v>1</v>
      </c>
      <c r="Q18" s="10">
        <v>2</v>
      </c>
      <c r="R18" s="10">
        <v>1</v>
      </c>
      <c r="S18" s="13">
        <v>45978</v>
      </c>
      <c r="T18" s="10" t="s">
        <v>25</v>
      </c>
      <c r="U18" s="10" t="s">
        <v>25</v>
      </c>
    </row>
    <row r="19" spans="1:21" x14ac:dyDescent="0.25">
      <c r="A19" s="1" t="s">
        <v>29</v>
      </c>
      <c r="B19" s="10">
        <v>532</v>
      </c>
      <c r="C19" s="10">
        <v>9214</v>
      </c>
      <c r="D19" s="19">
        <f t="shared" si="0"/>
        <v>24</v>
      </c>
      <c r="E19" s="10">
        <v>2</v>
      </c>
      <c r="F19" s="10">
        <v>2</v>
      </c>
      <c r="G19" s="10">
        <v>2</v>
      </c>
      <c r="H19" s="10">
        <v>2</v>
      </c>
      <c r="I19" s="10">
        <v>2</v>
      </c>
      <c r="J19" s="10">
        <v>2</v>
      </c>
      <c r="K19" s="10">
        <v>2</v>
      </c>
      <c r="L19" s="10">
        <v>1</v>
      </c>
      <c r="M19" s="10">
        <v>2</v>
      </c>
      <c r="N19" s="10">
        <v>1</v>
      </c>
      <c r="O19" s="10">
        <v>2</v>
      </c>
      <c r="P19" s="10">
        <v>1</v>
      </c>
      <c r="Q19" s="10">
        <v>2</v>
      </c>
      <c r="R19" s="10">
        <v>1</v>
      </c>
      <c r="S19" s="13">
        <v>45978</v>
      </c>
      <c r="T19" s="10" t="s">
        <v>25</v>
      </c>
      <c r="U19" s="10" t="s">
        <v>25</v>
      </c>
    </row>
    <row r="20" spans="1:21" x14ac:dyDescent="0.25">
      <c r="A20" s="1" t="s">
        <v>29</v>
      </c>
      <c r="B20" s="10">
        <v>533</v>
      </c>
      <c r="C20" s="10">
        <v>9214</v>
      </c>
      <c r="D20" s="19">
        <f t="shared" si="0"/>
        <v>24</v>
      </c>
      <c r="E20" s="10">
        <v>2</v>
      </c>
      <c r="F20" s="10">
        <v>2</v>
      </c>
      <c r="G20" s="10">
        <v>2</v>
      </c>
      <c r="H20" s="10">
        <v>2</v>
      </c>
      <c r="I20" s="10">
        <v>2</v>
      </c>
      <c r="J20" s="10">
        <v>2</v>
      </c>
      <c r="K20" s="10">
        <v>2</v>
      </c>
      <c r="L20" s="10">
        <v>1</v>
      </c>
      <c r="M20" s="10">
        <v>2</v>
      </c>
      <c r="N20" s="10">
        <v>1</v>
      </c>
      <c r="O20" s="10">
        <v>2</v>
      </c>
      <c r="P20" s="10">
        <v>1</v>
      </c>
      <c r="Q20" s="10">
        <v>2</v>
      </c>
      <c r="R20" s="10">
        <v>1</v>
      </c>
      <c r="S20" s="13">
        <v>45978</v>
      </c>
      <c r="T20" s="10" t="s">
        <v>25</v>
      </c>
      <c r="U20" s="10" t="s">
        <v>25</v>
      </c>
    </row>
    <row r="21" spans="1:21" x14ac:dyDescent="0.25">
      <c r="A21" s="1" t="s">
        <v>29</v>
      </c>
      <c r="B21" s="10">
        <v>534</v>
      </c>
      <c r="C21" s="10">
        <v>9238</v>
      </c>
      <c r="D21" s="19">
        <f t="shared" si="0"/>
        <v>24</v>
      </c>
      <c r="E21" s="10">
        <v>2</v>
      </c>
      <c r="F21" s="10">
        <v>2</v>
      </c>
      <c r="G21" s="10">
        <v>2</v>
      </c>
      <c r="H21" s="10">
        <v>2</v>
      </c>
      <c r="I21" s="10">
        <v>2</v>
      </c>
      <c r="J21" s="10">
        <v>2</v>
      </c>
      <c r="K21" s="10">
        <v>2</v>
      </c>
      <c r="L21" s="10">
        <v>1</v>
      </c>
      <c r="M21" s="10">
        <v>2</v>
      </c>
      <c r="N21" s="10">
        <v>1</v>
      </c>
      <c r="O21" s="10">
        <v>2</v>
      </c>
      <c r="P21" s="10">
        <v>1</v>
      </c>
      <c r="Q21" s="10">
        <v>2</v>
      </c>
      <c r="R21" s="10">
        <v>1</v>
      </c>
      <c r="S21" s="13">
        <v>45978</v>
      </c>
      <c r="T21" s="10" t="s">
        <v>25</v>
      </c>
      <c r="U21" s="10" t="s">
        <v>25</v>
      </c>
    </row>
    <row r="22" spans="1:21" x14ac:dyDescent="0.25">
      <c r="A22" s="1" t="s">
        <v>29</v>
      </c>
      <c r="B22" s="10">
        <v>535</v>
      </c>
      <c r="C22" s="10">
        <v>9245</v>
      </c>
      <c r="D22" s="19">
        <f t="shared" si="0"/>
        <v>24</v>
      </c>
      <c r="E22" s="10">
        <v>2</v>
      </c>
      <c r="F22" s="10">
        <v>2</v>
      </c>
      <c r="G22" s="10">
        <v>2</v>
      </c>
      <c r="H22" s="10">
        <v>2</v>
      </c>
      <c r="I22" s="10">
        <v>2</v>
      </c>
      <c r="J22" s="10">
        <v>2</v>
      </c>
      <c r="K22" s="10">
        <v>2</v>
      </c>
      <c r="L22" s="10">
        <v>1</v>
      </c>
      <c r="M22" s="10">
        <v>2</v>
      </c>
      <c r="N22" s="10">
        <v>1</v>
      </c>
      <c r="O22" s="10">
        <v>2</v>
      </c>
      <c r="P22" s="10">
        <v>1</v>
      </c>
      <c r="Q22" s="10">
        <v>2</v>
      </c>
      <c r="R22" s="10">
        <v>1</v>
      </c>
      <c r="S22" s="13">
        <v>45978</v>
      </c>
      <c r="T22" s="10" t="s">
        <v>25</v>
      </c>
      <c r="U22" s="10" t="s">
        <v>25</v>
      </c>
    </row>
    <row r="23" spans="1:21" x14ac:dyDescent="0.25">
      <c r="A23" s="1" t="s">
        <v>29</v>
      </c>
      <c r="B23" s="10">
        <v>536</v>
      </c>
      <c r="C23" s="10">
        <v>9245</v>
      </c>
      <c r="D23" s="19">
        <f t="shared" si="0"/>
        <v>24</v>
      </c>
      <c r="E23" s="10">
        <v>2</v>
      </c>
      <c r="F23" s="10">
        <v>2</v>
      </c>
      <c r="G23" s="10">
        <v>2</v>
      </c>
      <c r="H23" s="10">
        <v>2</v>
      </c>
      <c r="I23" s="10">
        <v>2</v>
      </c>
      <c r="J23" s="10">
        <v>2</v>
      </c>
      <c r="K23" s="10">
        <v>2</v>
      </c>
      <c r="L23" s="10">
        <v>1</v>
      </c>
      <c r="M23" s="10">
        <v>2</v>
      </c>
      <c r="N23" s="10">
        <v>1</v>
      </c>
      <c r="O23" s="10">
        <v>2</v>
      </c>
      <c r="P23" s="10">
        <v>1</v>
      </c>
      <c r="Q23" s="10">
        <v>2</v>
      </c>
      <c r="R23" s="10">
        <v>1</v>
      </c>
      <c r="S23" s="13">
        <v>45978</v>
      </c>
      <c r="T23" s="10" t="s">
        <v>25</v>
      </c>
      <c r="U23" s="10" t="s">
        <v>25</v>
      </c>
    </row>
    <row r="24" spans="1:21" x14ac:dyDescent="0.25">
      <c r="A24" s="1" t="s">
        <v>28</v>
      </c>
      <c r="B24" s="10">
        <v>537</v>
      </c>
      <c r="C24" s="10">
        <v>9248</v>
      </c>
      <c r="D24" s="19">
        <f t="shared" si="0"/>
        <v>48</v>
      </c>
      <c r="E24" s="10">
        <v>4</v>
      </c>
      <c r="F24" s="10">
        <v>4</v>
      </c>
      <c r="G24" s="10">
        <v>4</v>
      </c>
      <c r="H24" s="10">
        <v>4</v>
      </c>
      <c r="I24" s="10">
        <v>4</v>
      </c>
      <c r="J24" s="10">
        <v>4</v>
      </c>
      <c r="K24" s="10">
        <v>4</v>
      </c>
      <c r="L24" s="10">
        <v>2</v>
      </c>
      <c r="M24" s="10">
        <v>4</v>
      </c>
      <c r="N24" s="10">
        <v>2</v>
      </c>
      <c r="O24" s="10">
        <v>4</v>
      </c>
      <c r="P24" s="10">
        <v>2</v>
      </c>
      <c r="Q24" s="10">
        <v>4</v>
      </c>
      <c r="R24" s="10">
        <v>2</v>
      </c>
      <c r="S24" s="13">
        <v>45978</v>
      </c>
      <c r="T24" s="10" t="s">
        <v>25</v>
      </c>
      <c r="U24" s="10" t="s">
        <v>25</v>
      </c>
    </row>
    <row r="25" spans="1:21" x14ac:dyDescent="0.25">
      <c r="A25" s="1" t="s">
        <v>28</v>
      </c>
      <c r="B25" s="10">
        <v>538</v>
      </c>
      <c r="C25" s="10">
        <v>9232</v>
      </c>
      <c r="D25" s="19">
        <f t="shared" si="0"/>
        <v>24</v>
      </c>
      <c r="E25" s="10">
        <v>2</v>
      </c>
      <c r="F25" s="10">
        <v>2</v>
      </c>
      <c r="G25" s="10">
        <v>2</v>
      </c>
      <c r="H25" s="10">
        <v>2</v>
      </c>
      <c r="I25" s="10">
        <v>2</v>
      </c>
      <c r="J25" s="10">
        <v>2</v>
      </c>
      <c r="K25" s="10">
        <v>2</v>
      </c>
      <c r="L25" s="10">
        <v>1</v>
      </c>
      <c r="M25" s="10">
        <v>2</v>
      </c>
      <c r="N25" s="10">
        <v>1</v>
      </c>
      <c r="O25" s="10">
        <v>2</v>
      </c>
      <c r="P25" s="10">
        <v>1</v>
      </c>
      <c r="Q25" s="10">
        <v>2</v>
      </c>
      <c r="R25" s="10">
        <v>1</v>
      </c>
      <c r="S25" s="13">
        <v>45978</v>
      </c>
      <c r="T25" s="10" t="s">
        <v>25</v>
      </c>
      <c r="U25" s="10"/>
    </row>
    <row r="26" spans="1:21" x14ac:dyDescent="0.25">
      <c r="A26" s="1" t="s">
        <v>28</v>
      </c>
      <c r="B26" s="10">
        <v>539</v>
      </c>
      <c r="C26" s="10">
        <v>9232</v>
      </c>
      <c r="D26" s="19">
        <f t="shared" si="0"/>
        <v>24</v>
      </c>
      <c r="E26" s="10">
        <v>2</v>
      </c>
      <c r="F26" s="10">
        <v>2</v>
      </c>
      <c r="G26" s="10">
        <v>2</v>
      </c>
      <c r="H26" s="10">
        <v>2</v>
      </c>
      <c r="I26" s="10">
        <v>2</v>
      </c>
      <c r="J26" s="10">
        <v>2</v>
      </c>
      <c r="K26" s="10">
        <v>2</v>
      </c>
      <c r="L26" s="10">
        <v>1</v>
      </c>
      <c r="M26" s="10">
        <v>2</v>
      </c>
      <c r="N26" s="10">
        <v>1</v>
      </c>
      <c r="O26" s="10">
        <v>2</v>
      </c>
      <c r="P26" s="10">
        <v>1</v>
      </c>
      <c r="Q26" s="10">
        <v>2</v>
      </c>
      <c r="R26" s="10">
        <v>1</v>
      </c>
      <c r="S26" s="13">
        <v>45978</v>
      </c>
      <c r="T26" s="10" t="s">
        <v>25</v>
      </c>
      <c r="U26" s="10"/>
    </row>
    <row r="27" spans="1:21" x14ac:dyDescent="0.25">
      <c r="A27" s="1" t="s">
        <v>28</v>
      </c>
      <c r="B27" s="10">
        <v>540</v>
      </c>
      <c r="C27" s="10">
        <v>9232</v>
      </c>
      <c r="D27" s="19">
        <f t="shared" si="0"/>
        <v>24</v>
      </c>
      <c r="E27" s="10">
        <v>2</v>
      </c>
      <c r="F27" s="10">
        <v>2</v>
      </c>
      <c r="G27" s="10">
        <v>2</v>
      </c>
      <c r="H27" s="10">
        <v>2</v>
      </c>
      <c r="I27" s="10">
        <v>2</v>
      </c>
      <c r="J27" s="10">
        <v>2</v>
      </c>
      <c r="K27" s="10">
        <v>2</v>
      </c>
      <c r="L27" s="10">
        <v>1</v>
      </c>
      <c r="M27" s="10">
        <v>2</v>
      </c>
      <c r="N27" s="10">
        <v>1</v>
      </c>
      <c r="O27" s="10">
        <v>2</v>
      </c>
      <c r="P27" s="10">
        <v>1</v>
      </c>
      <c r="Q27" s="10">
        <v>2</v>
      </c>
      <c r="R27" s="10">
        <v>1</v>
      </c>
      <c r="S27" s="13">
        <v>45978</v>
      </c>
      <c r="T27" s="10" t="s">
        <v>25</v>
      </c>
      <c r="U27" s="10"/>
    </row>
    <row r="28" spans="1:21" x14ac:dyDescent="0.25">
      <c r="A28" s="1" t="s">
        <v>28</v>
      </c>
      <c r="B28" s="10">
        <v>541</v>
      </c>
      <c r="C28" s="10">
        <v>9245</v>
      </c>
      <c r="D28" s="19">
        <f t="shared" si="0"/>
        <v>48</v>
      </c>
      <c r="E28" s="10">
        <v>4</v>
      </c>
      <c r="F28" s="10">
        <v>4</v>
      </c>
      <c r="G28" s="10">
        <v>4</v>
      </c>
      <c r="H28" s="10">
        <v>4</v>
      </c>
      <c r="I28" s="10">
        <v>4</v>
      </c>
      <c r="J28" s="10">
        <v>4</v>
      </c>
      <c r="K28" s="10">
        <v>4</v>
      </c>
      <c r="L28" s="10">
        <v>2</v>
      </c>
      <c r="M28" s="10">
        <v>4</v>
      </c>
      <c r="N28" s="10">
        <v>2</v>
      </c>
      <c r="O28" s="10">
        <v>4</v>
      </c>
      <c r="P28" s="10">
        <v>2</v>
      </c>
      <c r="Q28" s="10">
        <v>4</v>
      </c>
      <c r="R28" s="10">
        <v>2</v>
      </c>
      <c r="S28" s="13">
        <v>45978</v>
      </c>
      <c r="T28" s="10" t="s">
        <v>25</v>
      </c>
      <c r="U28" s="10"/>
    </row>
    <row r="29" spans="1:21" x14ac:dyDescent="0.25">
      <c r="A29" s="1" t="s">
        <v>28</v>
      </c>
      <c r="B29" s="10">
        <v>542</v>
      </c>
      <c r="C29" s="10">
        <v>9245</v>
      </c>
      <c r="D29" s="19">
        <f t="shared" si="0"/>
        <v>48</v>
      </c>
      <c r="E29" s="10">
        <v>4</v>
      </c>
      <c r="F29" s="10">
        <v>4</v>
      </c>
      <c r="G29" s="10">
        <v>4</v>
      </c>
      <c r="H29" s="10">
        <v>4</v>
      </c>
      <c r="I29" s="10">
        <v>4</v>
      </c>
      <c r="J29" s="10">
        <v>4</v>
      </c>
      <c r="K29" s="10">
        <v>4</v>
      </c>
      <c r="L29" s="10">
        <v>2</v>
      </c>
      <c r="M29" s="10">
        <v>4</v>
      </c>
      <c r="N29" s="10">
        <v>2</v>
      </c>
      <c r="O29" s="10">
        <v>4</v>
      </c>
      <c r="P29" s="10">
        <v>2</v>
      </c>
      <c r="Q29" s="10">
        <v>4</v>
      </c>
      <c r="R29" s="10">
        <v>2</v>
      </c>
      <c r="S29" s="13">
        <v>45978</v>
      </c>
      <c r="T29" s="10" t="s">
        <v>25</v>
      </c>
      <c r="U29" s="10"/>
    </row>
    <row r="30" spans="1:21" x14ac:dyDescent="0.25">
      <c r="A30" s="1" t="s">
        <v>28</v>
      </c>
      <c r="B30" s="10">
        <v>543</v>
      </c>
      <c r="C30" s="10">
        <v>9238</v>
      </c>
      <c r="D30" s="19">
        <f t="shared" si="0"/>
        <v>24</v>
      </c>
      <c r="E30" s="10">
        <v>2</v>
      </c>
      <c r="F30" s="10">
        <v>2</v>
      </c>
      <c r="G30" s="10">
        <v>2</v>
      </c>
      <c r="H30" s="10">
        <v>2</v>
      </c>
      <c r="I30" s="10">
        <v>2</v>
      </c>
      <c r="J30" s="10">
        <v>2</v>
      </c>
      <c r="K30" s="10">
        <v>2</v>
      </c>
      <c r="L30" s="10">
        <v>1</v>
      </c>
      <c r="M30" s="10">
        <v>2</v>
      </c>
      <c r="N30" s="10">
        <v>1</v>
      </c>
      <c r="O30" s="10">
        <v>2</v>
      </c>
      <c r="P30" s="10">
        <v>1</v>
      </c>
      <c r="Q30" s="10">
        <v>2</v>
      </c>
      <c r="R30" s="10">
        <v>1</v>
      </c>
      <c r="S30" s="13">
        <v>45978</v>
      </c>
      <c r="T30" s="10" t="s">
        <v>25</v>
      </c>
      <c r="U30" s="10" t="s">
        <v>25</v>
      </c>
    </row>
    <row r="31" spans="1:21" x14ac:dyDescent="0.25">
      <c r="A31" s="1" t="s">
        <v>28</v>
      </c>
      <c r="B31" s="10">
        <v>544</v>
      </c>
      <c r="C31" s="10">
        <v>9238</v>
      </c>
      <c r="D31" s="19">
        <f t="shared" si="0"/>
        <v>24</v>
      </c>
      <c r="E31" s="10">
        <v>2</v>
      </c>
      <c r="F31" s="10">
        <v>2</v>
      </c>
      <c r="G31" s="10">
        <v>2</v>
      </c>
      <c r="H31" s="10">
        <v>2</v>
      </c>
      <c r="I31" s="10">
        <v>2</v>
      </c>
      <c r="J31" s="10">
        <v>2</v>
      </c>
      <c r="K31" s="10">
        <v>2</v>
      </c>
      <c r="L31" s="10">
        <v>1</v>
      </c>
      <c r="M31" s="10">
        <v>2</v>
      </c>
      <c r="N31" s="10">
        <v>1</v>
      </c>
      <c r="O31" s="10">
        <v>2</v>
      </c>
      <c r="P31" s="10">
        <v>1</v>
      </c>
      <c r="Q31" s="10">
        <v>2</v>
      </c>
      <c r="R31" s="10">
        <v>1</v>
      </c>
      <c r="S31" s="13">
        <v>45978</v>
      </c>
      <c r="T31" s="10" t="s">
        <v>25</v>
      </c>
      <c r="U31" s="10" t="s">
        <v>25</v>
      </c>
    </row>
    <row r="32" spans="1:21" x14ac:dyDescent="0.25">
      <c r="A32" s="1" t="s">
        <v>28</v>
      </c>
      <c r="B32" s="10">
        <v>545</v>
      </c>
      <c r="C32" s="10">
        <v>9238</v>
      </c>
      <c r="D32" s="19">
        <f t="shared" si="0"/>
        <v>24</v>
      </c>
      <c r="E32" s="10">
        <v>2</v>
      </c>
      <c r="F32" s="10">
        <v>2</v>
      </c>
      <c r="G32" s="10">
        <v>2</v>
      </c>
      <c r="H32" s="10">
        <v>2</v>
      </c>
      <c r="I32" s="10">
        <v>2</v>
      </c>
      <c r="J32" s="10">
        <v>2</v>
      </c>
      <c r="K32" s="10">
        <v>2</v>
      </c>
      <c r="L32" s="10">
        <v>1</v>
      </c>
      <c r="M32" s="10">
        <v>2</v>
      </c>
      <c r="N32" s="10">
        <v>1</v>
      </c>
      <c r="O32" s="10">
        <v>2</v>
      </c>
      <c r="P32" s="10">
        <v>1</v>
      </c>
      <c r="Q32" s="10">
        <v>2</v>
      </c>
      <c r="R32" s="10">
        <v>1</v>
      </c>
      <c r="S32" s="13">
        <v>45978</v>
      </c>
      <c r="T32" s="10" t="s">
        <v>25</v>
      </c>
      <c r="U32" s="10" t="s">
        <v>25</v>
      </c>
    </row>
    <row r="33" spans="1:21" x14ac:dyDescent="0.25">
      <c r="A33" s="1" t="s">
        <v>28</v>
      </c>
      <c r="B33" s="10">
        <v>546</v>
      </c>
      <c r="C33" s="10">
        <v>9226</v>
      </c>
      <c r="D33" s="19">
        <f t="shared" si="0"/>
        <v>24</v>
      </c>
      <c r="E33" s="10">
        <v>2</v>
      </c>
      <c r="F33" s="10">
        <v>2</v>
      </c>
      <c r="G33" s="10">
        <v>2</v>
      </c>
      <c r="H33" s="10">
        <v>2</v>
      </c>
      <c r="I33" s="10">
        <v>2</v>
      </c>
      <c r="J33" s="10">
        <v>2</v>
      </c>
      <c r="K33" s="10">
        <v>2</v>
      </c>
      <c r="L33" s="10">
        <v>1</v>
      </c>
      <c r="M33" s="10">
        <v>2</v>
      </c>
      <c r="N33" s="10">
        <v>1</v>
      </c>
      <c r="O33" s="10">
        <v>2</v>
      </c>
      <c r="P33" s="10">
        <v>1</v>
      </c>
      <c r="Q33" s="10">
        <v>2</v>
      </c>
      <c r="R33" s="10">
        <v>1</v>
      </c>
      <c r="S33" s="13">
        <v>45978</v>
      </c>
      <c r="T33" s="10" t="s">
        <v>23</v>
      </c>
      <c r="U33" s="10" t="s">
        <v>53</v>
      </c>
    </row>
    <row r="34" spans="1:21" x14ac:dyDescent="0.25">
      <c r="A34" s="1" t="s">
        <v>28</v>
      </c>
      <c r="B34" s="10">
        <v>547</v>
      </c>
      <c r="C34" s="10">
        <v>9226</v>
      </c>
      <c r="D34" s="19">
        <f t="shared" si="0"/>
        <v>24</v>
      </c>
      <c r="E34" s="10">
        <v>2</v>
      </c>
      <c r="F34" s="10">
        <v>2</v>
      </c>
      <c r="G34" s="10">
        <v>2</v>
      </c>
      <c r="H34" s="10">
        <v>2</v>
      </c>
      <c r="I34" s="10">
        <v>2</v>
      </c>
      <c r="J34" s="10">
        <v>2</v>
      </c>
      <c r="K34" s="10">
        <v>2</v>
      </c>
      <c r="L34" s="10">
        <v>1</v>
      </c>
      <c r="M34" s="10">
        <v>2</v>
      </c>
      <c r="N34" s="10">
        <v>1</v>
      </c>
      <c r="O34" s="10">
        <v>2</v>
      </c>
      <c r="P34" s="10">
        <v>1</v>
      </c>
      <c r="Q34" s="10">
        <v>2</v>
      </c>
      <c r="R34" s="10">
        <v>1</v>
      </c>
      <c r="S34" s="13">
        <v>45978</v>
      </c>
      <c r="T34" s="10" t="s">
        <v>23</v>
      </c>
      <c r="U34" s="10" t="s">
        <v>53</v>
      </c>
    </row>
    <row r="35" spans="1:21" x14ac:dyDescent="0.25">
      <c r="A35" s="1" t="s">
        <v>28</v>
      </c>
      <c r="B35" s="10">
        <v>548</v>
      </c>
      <c r="C35" s="10">
        <v>9226</v>
      </c>
      <c r="D35" s="19">
        <f t="shared" si="0"/>
        <v>24</v>
      </c>
      <c r="E35" s="10">
        <v>2</v>
      </c>
      <c r="F35" s="10">
        <v>2</v>
      </c>
      <c r="G35" s="10">
        <v>2</v>
      </c>
      <c r="H35" s="10">
        <v>2</v>
      </c>
      <c r="I35" s="10">
        <v>2</v>
      </c>
      <c r="J35" s="10">
        <v>2</v>
      </c>
      <c r="K35" s="10">
        <v>2</v>
      </c>
      <c r="L35" s="10">
        <v>1</v>
      </c>
      <c r="M35" s="10">
        <v>2</v>
      </c>
      <c r="N35" s="10">
        <v>1</v>
      </c>
      <c r="O35" s="10">
        <v>2</v>
      </c>
      <c r="P35" s="10">
        <v>1</v>
      </c>
      <c r="Q35" s="10">
        <v>2</v>
      </c>
      <c r="R35" s="10">
        <v>1</v>
      </c>
      <c r="S35" s="13">
        <v>45978</v>
      </c>
      <c r="T35" s="10" t="s">
        <v>23</v>
      </c>
      <c r="U35" s="10" t="s">
        <v>53</v>
      </c>
    </row>
    <row r="36" spans="1:21" x14ac:dyDescent="0.25">
      <c r="A36" s="1" t="s">
        <v>60</v>
      </c>
      <c r="B36" s="10">
        <v>549</v>
      </c>
      <c r="C36" s="10">
        <v>9208</v>
      </c>
      <c r="D36" s="19">
        <f t="shared" si="0"/>
        <v>36</v>
      </c>
      <c r="E36" s="10">
        <v>1</v>
      </c>
      <c r="F36" s="10">
        <v>2</v>
      </c>
      <c r="G36" s="10">
        <v>3</v>
      </c>
      <c r="H36" s="10">
        <v>3</v>
      </c>
      <c r="I36" s="10">
        <v>4</v>
      </c>
      <c r="J36" s="10">
        <v>4</v>
      </c>
      <c r="K36" s="10">
        <v>3</v>
      </c>
      <c r="L36" s="10">
        <v>3</v>
      </c>
      <c r="M36" s="10">
        <v>3</v>
      </c>
      <c r="N36" s="10">
        <v>2</v>
      </c>
      <c r="O36" s="10">
        <v>2</v>
      </c>
      <c r="P36" s="10">
        <v>2</v>
      </c>
      <c r="Q36" s="10">
        <v>2</v>
      </c>
      <c r="R36" s="10">
        <v>2</v>
      </c>
      <c r="S36" s="13">
        <v>45982</v>
      </c>
      <c r="T36" s="10"/>
      <c r="U36" s="10" t="s">
        <v>23</v>
      </c>
    </row>
    <row r="37" spans="1:21" x14ac:dyDescent="0.25">
      <c r="A37" s="1" t="s">
        <v>60</v>
      </c>
      <c r="B37" s="10">
        <v>550</v>
      </c>
      <c r="C37" s="10">
        <v>9224</v>
      </c>
      <c r="D37" s="19">
        <f t="shared" si="0"/>
        <v>36</v>
      </c>
      <c r="E37" s="10">
        <v>1</v>
      </c>
      <c r="F37" s="10">
        <v>2</v>
      </c>
      <c r="G37" s="10">
        <v>3</v>
      </c>
      <c r="H37" s="10">
        <v>3</v>
      </c>
      <c r="I37" s="10">
        <v>4</v>
      </c>
      <c r="J37" s="10">
        <v>4</v>
      </c>
      <c r="K37" s="10">
        <v>3</v>
      </c>
      <c r="L37" s="10">
        <v>3</v>
      </c>
      <c r="M37" s="10">
        <v>3</v>
      </c>
      <c r="N37" s="10">
        <v>2</v>
      </c>
      <c r="O37" s="10">
        <v>2</v>
      </c>
      <c r="P37" s="10">
        <v>2</v>
      </c>
      <c r="Q37" s="10">
        <v>2</v>
      </c>
      <c r="R37" s="10">
        <v>2</v>
      </c>
      <c r="S37" s="13">
        <v>45982</v>
      </c>
      <c r="T37" s="10" t="s">
        <v>23</v>
      </c>
      <c r="U37" s="10" t="s">
        <v>23</v>
      </c>
    </row>
    <row r="38" spans="1:21" x14ac:dyDescent="0.25">
      <c r="A38" s="1" t="s">
        <v>60</v>
      </c>
      <c r="B38" s="10">
        <v>551</v>
      </c>
      <c r="C38" s="10">
        <v>9205</v>
      </c>
      <c r="D38" s="19">
        <f t="shared" si="0"/>
        <v>36</v>
      </c>
      <c r="E38" s="10">
        <v>1</v>
      </c>
      <c r="F38" s="10">
        <v>2</v>
      </c>
      <c r="G38" s="10">
        <v>3</v>
      </c>
      <c r="H38" s="10">
        <v>3</v>
      </c>
      <c r="I38" s="10">
        <v>4</v>
      </c>
      <c r="J38" s="10">
        <v>4</v>
      </c>
      <c r="K38" s="10">
        <v>3</v>
      </c>
      <c r="L38" s="10">
        <v>3</v>
      </c>
      <c r="M38" s="10">
        <v>3</v>
      </c>
      <c r="N38" s="10">
        <v>2</v>
      </c>
      <c r="O38" s="10">
        <v>2</v>
      </c>
      <c r="P38" s="10">
        <v>2</v>
      </c>
      <c r="Q38" s="10">
        <v>2</v>
      </c>
      <c r="R38" s="10">
        <v>2</v>
      </c>
      <c r="S38" s="13">
        <v>45982</v>
      </c>
      <c r="T38" s="10"/>
      <c r="U38" s="10" t="s">
        <v>53</v>
      </c>
    </row>
    <row r="39" spans="1:21" x14ac:dyDescent="0.25">
      <c r="A39" s="1" t="s">
        <v>60</v>
      </c>
      <c r="B39" s="10">
        <v>552</v>
      </c>
      <c r="C39" s="10">
        <v>9209</v>
      </c>
      <c r="D39" s="19">
        <f t="shared" si="0"/>
        <v>36</v>
      </c>
      <c r="E39" s="10">
        <v>1</v>
      </c>
      <c r="F39" s="10">
        <v>2</v>
      </c>
      <c r="G39" s="10">
        <v>3</v>
      </c>
      <c r="H39" s="10">
        <v>3</v>
      </c>
      <c r="I39" s="10">
        <v>4</v>
      </c>
      <c r="J39" s="10">
        <v>4</v>
      </c>
      <c r="K39" s="10">
        <v>3</v>
      </c>
      <c r="L39" s="10">
        <v>3</v>
      </c>
      <c r="M39" s="10">
        <v>3</v>
      </c>
      <c r="N39" s="10">
        <v>2</v>
      </c>
      <c r="O39" s="10">
        <v>2</v>
      </c>
      <c r="P39" s="10">
        <v>2</v>
      </c>
      <c r="Q39" s="10">
        <v>2</v>
      </c>
      <c r="R39" s="10">
        <v>2</v>
      </c>
      <c r="S39" s="13">
        <v>45982</v>
      </c>
      <c r="T39" s="10" t="s">
        <v>25</v>
      </c>
      <c r="U39" s="10" t="s">
        <v>23</v>
      </c>
    </row>
    <row r="40" spans="1:21" x14ac:dyDescent="0.25">
      <c r="A40" s="1" t="s">
        <v>60</v>
      </c>
      <c r="B40" s="10">
        <v>553</v>
      </c>
      <c r="C40" s="10">
        <v>9201</v>
      </c>
      <c r="D40" s="19">
        <f t="shared" si="0"/>
        <v>40</v>
      </c>
      <c r="E40" s="10">
        <v>2</v>
      </c>
      <c r="F40" s="10">
        <v>2</v>
      </c>
      <c r="G40" s="10">
        <v>3</v>
      </c>
      <c r="H40" s="10">
        <v>3</v>
      </c>
      <c r="I40" s="10">
        <v>4</v>
      </c>
      <c r="J40" s="10">
        <v>4</v>
      </c>
      <c r="K40" s="10">
        <v>3</v>
      </c>
      <c r="L40" s="10">
        <v>3</v>
      </c>
      <c r="M40" s="10">
        <v>3</v>
      </c>
      <c r="N40" s="10">
        <v>2</v>
      </c>
      <c r="O40" s="10">
        <v>2</v>
      </c>
      <c r="P40" s="10">
        <v>3</v>
      </c>
      <c r="Q40" s="10">
        <v>3</v>
      </c>
      <c r="R40" s="10">
        <v>3</v>
      </c>
      <c r="S40" s="13">
        <v>45982</v>
      </c>
      <c r="T40" s="10" t="s">
        <v>25</v>
      </c>
      <c r="U40" s="10" t="s">
        <v>23</v>
      </c>
    </row>
    <row r="41" spans="1:21" x14ac:dyDescent="0.25">
      <c r="A41" s="1" t="s">
        <v>60</v>
      </c>
      <c r="B41" s="10">
        <v>554</v>
      </c>
      <c r="C41" s="10">
        <v>9201</v>
      </c>
      <c r="D41" s="19">
        <f t="shared" si="0"/>
        <v>40</v>
      </c>
      <c r="E41" s="10">
        <v>2</v>
      </c>
      <c r="F41" s="10">
        <v>2</v>
      </c>
      <c r="G41" s="10">
        <v>3</v>
      </c>
      <c r="H41" s="10">
        <v>3</v>
      </c>
      <c r="I41" s="10">
        <v>4</v>
      </c>
      <c r="J41" s="10">
        <v>4</v>
      </c>
      <c r="K41" s="10">
        <v>3</v>
      </c>
      <c r="L41" s="10">
        <v>3</v>
      </c>
      <c r="M41" s="10">
        <v>3</v>
      </c>
      <c r="N41" s="10">
        <v>2</v>
      </c>
      <c r="O41" s="10">
        <v>2</v>
      </c>
      <c r="P41" s="10">
        <v>3</v>
      </c>
      <c r="Q41" s="10">
        <v>3</v>
      </c>
      <c r="R41" s="10">
        <v>3</v>
      </c>
      <c r="S41" s="13">
        <v>45982</v>
      </c>
      <c r="T41" s="10"/>
      <c r="U41" s="10" t="s">
        <v>53</v>
      </c>
    </row>
    <row r="42" spans="1:21" x14ac:dyDescent="0.25">
      <c r="A42" s="1" t="s">
        <v>60</v>
      </c>
      <c r="B42" s="10">
        <v>555</v>
      </c>
      <c r="C42" s="10">
        <v>9201</v>
      </c>
      <c r="D42" s="19">
        <f t="shared" si="0"/>
        <v>40</v>
      </c>
      <c r="E42" s="10">
        <v>2</v>
      </c>
      <c r="F42" s="10">
        <v>2</v>
      </c>
      <c r="G42" s="10">
        <v>3</v>
      </c>
      <c r="H42" s="10">
        <v>3</v>
      </c>
      <c r="I42" s="10">
        <v>4</v>
      </c>
      <c r="J42" s="10">
        <v>4</v>
      </c>
      <c r="K42" s="10">
        <v>3</v>
      </c>
      <c r="L42" s="10">
        <v>3</v>
      </c>
      <c r="M42" s="10">
        <v>3</v>
      </c>
      <c r="N42" s="10">
        <v>2</v>
      </c>
      <c r="O42" s="10">
        <v>2</v>
      </c>
      <c r="P42" s="10">
        <v>3</v>
      </c>
      <c r="Q42" s="10">
        <v>3</v>
      </c>
      <c r="R42" s="10">
        <v>3</v>
      </c>
      <c r="S42" s="13">
        <v>45982</v>
      </c>
      <c r="T42" s="10"/>
      <c r="U42" s="10" t="s">
        <v>53</v>
      </c>
    </row>
    <row r="43" spans="1:21" x14ac:dyDescent="0.25">
      <c r="A43" s="1" t="s">
        <v>61</v>
      </c>
      <c r="B43" s="10">
        <v>556</v>
      </c>
      <c r="C43" s="10">
        <v>9213</v>
      </c>
      <c r="D43" s="19">
        <f>SUM(E43:R43)</f>
        <v>30</v>
      </c>
      <c r="E43" s="10">
        <v>2</v>
      </c>
      <c r="F43" s="10">
        <v>2</v>
      </c>
      <c r="G43" s="10">
        <v>2</v>
      </c>
      <c r="H43" s="10">
        <v>2</v>
      </c>
      <c r="I43" s="10">
        <v>2</v>
      </c>
      <c r="J43" s="10">
        <v>2</v>
      </c>
      <c r="K43" s="10">
        <v>3</v>
      </c>
      <c r="L43" s="10">
        <v>1</v>
      </c>
      <c r="M43" s="10">
        <v>3</v>
      </c>
      <c r="N43" s="10">
        <v>2</v>
      </c>
      <c r="O43" s="10">
        <v>3</v>
      </c>
      <c r="P43" s="10">
        <v>2</v>
      </c>
      <c r="Q43" s="10">
        <v>3</v>
      </c>
      <c r="R43" s="10">
        <v>1</v>
      </c>
      <c r="S43" s="13">
        <v>45982</v>
      </c>
      <c r="T43" s="10" t="s">
        <v>53</v>
      </c>
      <c r="U43" s="10"/>
    </row>
    <row r="44" spans="1:21" x14ac:dyDescent="0.25">
      <c r="D44" s="20">
        <f>SUM(D3:D43)</f>
        <v>1316</v>
      </c>
    </row>
  </sheetData>
  <mergeCells count="4">
    <mergeCell ref="A1:D1"/>
    <mergeCell ref="E1:R1"/>
    <mergeCell ref="S1:S2"/>
    <mergeCell ref="T1:U1"/>
  </mergeCells>
  <pageMargins left="0.7" right="0.7" top="0.75" bottom="0.75" header="0.3" footer="0.3"/>
  <ignoredErrors>
    <ignoredError sqref="D4:D16 D18:D43" formulaRange="1"/>
    <ignoredError sqref="D17" formula="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9"/>
  <sheetViews>
    <sheetView topLeftCell="A25" workbookViewId="0">
      <selection activeCell="A25" sqref="A25:XFD25"/>
    </sheetView>
  </sheetViews>
  <sheetFormatPr defaultColWidth="11.42578125" defaultRowHeight="15" x14ac:dyDescent="0.25"/>
  <cols>
    <col min="1" max="1" width="20" customWidth="1"/>
    <col min="5" max="5" width="4.7109375" customWidth="1"/>
    <col min="6" max="6" width="5.140625" customWidth="1"/>
    <col min="7" max="7" width="4" customWidth="1"/>
    <col min="8" max="8" width="5.7109375" customWidth="1"/>
    <col min="9" max="9" width="4.140625" customWidth="1"/>
    <col min="10" max="10" width="5" customWidth="1"/>
    <col min="11" max="11" width="4.42578125" customWidth="1"/>
    <col min="12" max="12" width="5.5703125" customWidth="1"/>
    <col min="13" max="13" width="4.28515625" customWidth="1"/>
    <col min="14" max="14" width="5.42578125" customWidth="1"/>
    <col min="15" max="15" width="4.42578125" customWidth="1"/>
    <col min="16" max="16" width="5.140625" customWidth="1"/>
    <col min="17" max="17" width="4.42578125" customWidth="1"/>
    <col min="18" max="18" width="5.28515625" customWidth="1"/>
    <col min="19" max="19" width="16.5703125" customWidth="1"/>
    <col min="20" max="20" width="13.28515625" customWidth="1"/>
    <col min="21" max="21" width="13.42578125" customWidth="1"/>
  </cols>
  <sheetData>
    <row r="1" spans="1:21" ht="18.75" x14ac:dyDescent="0.25">
      <c r="A1" s="63" t="s">
        <v>62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6" t="s">
        <v>0</v>
      </c>
      <c r="B2" s="6" t="s">
        <v>1</v>
      </c>
      <c r="C2" s="6" t="s">
        <v>3</v>
      </c>
      <c r="D2" s="12" t="s">
        <v>2</v>
      </c>
      <c r="E2" s="6">
        <v>15</v>
      </c>
      <c r="F2" s="6">
        <v>15.5</v>
      </c>
      <c r="G2" s="6">
        <v>16</v>
      </c>
      <c r="H2" s="6">
        <v>16.5</v>
      </c>
      <c r="I2" s="6">
        <v>17</v>
      </c>
      <c r="J2" s="6">
        <v>17.5</v>
      </c>
      <c r="K2" s="6">
        <v>18</v>
      </c>
      <c r="L2" s="6">
        <v>18.5</v>
      </c>
      <c r="M2" s="6">
        <v>19</v>
      </c>
      <c r="N2" s="6">
        <v>19.5</v>
      </c>
      <c r="O2" s="6">
        <v>20</v>
      </c>
      <c r="P2" s="6">
        <v>20.5</v>
      </c>
      <c r="Q2" s="6">
        <v>21</v>
      </c>
      <c r="R2" s="6">
        <v>21.5</v>
      </c>
      <c r="S2" s="65"/>
      <c r="T2" s="6" t="s">
        <v>9</v>
      </c>
      <c r="U2" s="6" t="s">
        <v>10</v>
      </c>
    </row>
    <row r="3" spans="1:21" x14ac:dyDescent="0.25">
      <c r="A3" s="1" t="s">
        <v>63</v>
      </c>
      <c r="B3" s="10">
        <v>557</v>
      </c>
      <c r="C3" s="10">
        <v>9203</v>
      </c>
      <c r="D3" s="19">
        <f>SUM(E3:R3)</f>
        <v>14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3">
        <v>45985</v>
      </c>
      <c r="T3" s="10" t="s">
        <v>25</v>
      </c>
      <c r="U3" s="10" t="s">
        <v>53</v>
      </c>
    </row>
    <row r="4" spans="1:21" x14ac:dyDescent="0.25">
      <c r="A4" s="1" t="s">
        <v>64</v>
      </c>
      <c r="B4" s="10">
        <v>558</v>
      </c>
      <c r="C4" s="10" t="s">
        <v>30</v>
      </c>
      <c r="D4" s="19">
        <f>SUM(E4:R4)</f>
        <v>14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3">
        <v>45985</v>
      </c>
      <c r="T4" s="10"/>
      <c r="U4" s="10"/>
    </row>
    <row r="5" spans="1:21" x14ac:dyDescent="0.25">
      <c r="A5" s="1" t="s">
        <v>45</v>
      </c>
      <c r="B5" s="10">
        <v>559</v>
      </c>
      <c r="C5" s="10">
        <v>9228</v>
      </c>
      <c r="D5" s="19">
        <f>SUM(E5:R5)</f>
        <v>28</v>
      </c>
      <c r="E5" s="10">
        <v>2</v>
      </c>
      <c r="F5" s="10">
        <v>2</v>
      </c>
      <c r="G5" s="10">
        <v>2</v>
      </c>
      <c r="H5" s="10">
        <v>2</v>
      </c>
      <c r="I5" s="10">
        <v>2</v>
      </c>
      <c r="J5" s="10">
        <v>2</v>
      </c>
      <c r="K5" s="10">
        <v>2</v>
      </c>
      <c r="L5" s="10">
        <v>2</v>
      </c>
      <c r="M5" s="10">
        <v>2</v>
      </c>
      <c r="N5" s="10">
        <v>2</v>
      </c>
      <c r="O5" s="10">
        <v>2</v>
      </c>
      <c r="P5" s="10">
        <v>2</v>
      </c>
      <c r="Q5" s="10">
        <v>2</v>
      </c>
      <c r="R5" s="10">
        <v>2</v>
      </c>
      <c r="S5" s="13">
        <v>45985</v>
      </c>
      <c r="T5" s="10"/>
      <c r="U5" s="10" t="s">
        <v>53</v>
      </c>
    </row>
    <row r="6" spans="1:21" x14ac:dyDescent="0.25">
      <c r="A6" s="1" t="s">
        <v>65</v>
      </c>
      <c r="B6" s="10">
        <v>560</v>
      </c>
      <c r="C6" s="10">
        <v>9201</v>
      </c>
      <c r="D6" s="19">
        <f t="shared" ref="D6:D29" si="0">SUM(E6:R6)</f>
        <v>54</v>
      </c>
      <c r="E6" s="10">
        <v>4</v>
      </c>
      <c r="F6" s="10">
        <v>4</v>
      </c>
      <c r="G6" s="10">
        <v>8</v>
      </c>
      <c r="H6" s="10">
        <v>4</v>
      </c>
      <c r="I6" s="10">
        <v>7</v>
      </c>
      <c r="J6" s="10">
        <v>3</v>
      </c>
      <c r="K6" s="10">
        <v>4</v>
      </c>
      <c r="L6" s="10">
        <v>2</v>
      </c>
      <c r="M6" s="10">
        <v>3</v>
      </c>
      <c r="N6" s="10">
        <v>4</v>
      </c>
      <c r="O6" s="10">
        <v>5</v>
      </c>
      <c r="P6" s="10">
        <v>2</v>
      </c>
      <c r="Q6" s="10">
        <v>2</v>
      </c>
      <c r="R6" s="10">
        <v>2</v>
      </c>
      <c r="S6" s="13">
        <v>45985</v>
      </c>
      <c r="T6" s="10" t="s">
        <v>53</v>
      </c>
      <c r="U6" s="10"/>
    </row>
    <row r="7" spans="1:21" x14ac:dyDescent="0.25">
      <c r="A7" s="1" t="s">
        <v>65</v>
      </c>
      <c r="B7" s="10">
        <v>561</v>
      </c>
      <c r="C7" s="10">
        <v>9203</v>
      </c>
      <c r="D7" s="19">
        <f t="shared" si="0"/>
        <v>30</v>
      </c>
      <c r="E7" s="10"/>
      <c r="F7" s="10"/>
      <c r="G7" s="10"/>
      <c r="H7" s="10"/>
      <c r="I7" s="10"/>
      <c r="J7" s="10"/>
      <c r="K7" s="10">
        <v>5</v>
      </c>
      <c r="L7" s="10">
        <v>3</v>
      </c>
      <c r="M7" s="10">
        <v>4</v>
      </c>
      <c r="N7" s="10">
        <v>3</v>
      </c>
      <c r="O7" s="10">
        <v>5</v>
      </c>
      <c r="P7" s="10">
        <v>3</v>
      </c>
      <c r="Q7" s="10">
        <v>4</v>
      </c>
      <c r="R7" s="10">
        <v>3</v>
      </c>
      <c r="S7" s="13">
        <v>45985</v>
      </c>
      <c r="T7" s="10" t="s">
        <v>25</v>
      </c>
      <c r="U7" s="10"/>
    </row>
    <row r="8" spans="1:21" x14ac:dyDescent="0.25">
      <c r="A8" s="1" t="s">
        <v>65</v>
      </c>
      <c r="B8" s="10">
        <v>562</v>
      </c>
      <c r="C8" s="10">
        <v>9208</v>
      </c>
      <c r="D8" s="19">
        <f t="shared" si="0"/>
        <v>60</v>
      </c>
      <c r="E8" s="10">
        <v>1</v>
      </c>
      <c r="F8" s="10">
        <v>1</v>
      </c>
      <c r="G8" s="10">
        <v>4</v>
      </c>
      <c r="H8" s="10">
        <v>2</v>
      </c>
      <c r="I8" s="10">
        <v>5</v>
      </c>
      <c r="J8" s="10">
        <v>5</v>
      </c>
      <c r="K8" s="10">
        <v>7</v>
      </c>
      <c r="L8" s="10">
        <v>5</v>
      </c>
      <c r="M8" s="10">
        <v>4</v>
      </c>
      <c r="N8" s="10">
        <v>9</v>
      </c>
      <c r="O8" s="10">
        <v>5</v>
      </c>
      <c r="P8" s="10">
        <v>2</v>
      </c>
      <c r="Q8" s="10">
        <v>3</v>
      </c>
      <c r="R8" s="10">
        <v>7</v>
      </c>
      <c r="S8" s="13">
        <v>45985</v>
      </c>
      <c r="T8" s="10"/>
      <c r="U8" s="10" t="s">
        <v>23</v>
      </c>
    </row>
    <row r="9" spans="1:21" x14ac:dyDescent="0.25">
      <c r="A9" s="1" t="s">
        <v>65</v>
      </c>
      <c r="B9" s="10">
        <v>563</v>
      </c>
      <c r="C9" s="10">
        <v>9210</v>
      </c>
      <c r="D9" s="19">
        <f t="shared" si="0"/>
        <v>60</v>
      </c>
      <c r="E9" s="10"/>
      <c r="F9" s="10"/>
      <c r="G9" s="10"/>
      <c r="H9" s="10"/>
      <c r="I9" s="10"/>
      <c r="J9" s="10"/>
      <c r="K9" s="10">
        <v>6</v>
      </c>
      <c r="L9" s="10">
        <v>9</v>
      </c>
      <c r="M9" s="10">
        <v>5</v>
      </c>
      <c r="N9" s="10">
        <v>11</v>
      </c>
      <c r="O9" s="10">
        <v>9</v>
      </c>
      <c r="P9" s="10">
        <v>4</v>
      </c>
      <c r="Q9" s="10">
        <v>10</v>
      </c>
      <c r="R9" s="10">
        <v>6</v>
      </c>
      <c r="S9" s="13">
        <v>45985</v>
      </c>
      <c r="T9" s="10" t="s">
        <v>49</v>
      </c>
      <c r="U9" s="10" t="s">
        <v>49</v>
      </c>
    </row>
    <row r="10" spans="1:21" x14ac:dyDescent="0.25">
      <c r="A10" s="1" t="s">
        <v>65</v>
      </c>
      <c r="B10" s="10">
        <v>564</v>
      </c>
      <c r="C10" s="10">
        <v>9220</v>
      </c>
      <c r="D10" s="19">
        <f t="shared" si="0"/>
        <v>32</v>
      </c>
      <c r="E10" s="10"/>
      <c r="F10" s="10"/>
      <c r="G10" s="10"/>
      <c r="H10" s="10"/>
      <c r="I10" s="10"/>
      <c r="J10" s="10"/>
      <c r="K10" s="10">
        <v>2</v>
      </c>
      <c r="L10" s="10">
        <v>4</v>
      </c>
      <c r="M10" s="10">
        <v>2</v>
      </c>
      <c r="N10" s="10">
        <v>4</v>
      </c>
      <c r="O10" s="10">
        <v>5</v>
      </c>
      <c r="P10" s="10">
        <v>6</v>
      </c>
      <c r="Q10" s="10">
        <v>6</v>
      </c>
      <c r="R10" s="10">
        <v>3</v>
      </c>
      <c r="S10" s="13">
        <v>45985</v>
      </c>
      <c r="T10" s="10" t="s">
        <v>25</v>
      </c>
      <c r="U10" s="10"/>
    </row>
    <row r="11" spans="1:21" x14ac:dyDescent="0.25">
      <c r="A11" s="1" t="s">
        <v>65</v>
      </c>
      <c r="B11" s="10">
        <v>565</v>
      </c>
      <c r="C11" s="10" t="s">
        <v>30</v>
      </c>
      <c r="D11" s="19">
        <f t="shared" si="0"/>
        <v>84</v>
      </c>
      <c r="E11" s="10">
        <v>3</v>
      </c>
      <c r="F11" s="10">
        <v>3</v>
      </c>
      <c r="G11" s="10">
        <v>5</v>
      </c>
      <c r="H11" s="10">
        <v>3</v>
      </c>
      <c r="I11" s="10">
        <v>8</v>
      </c>
      <c r="J11" s="10">
        <v>8</v>
      </c>
      <c r="K11" s="10">
        <v>8</v>
      </c>
      <c r="L11" s="10">
        <v>8</v>
      </c>
      <c r="M11" s="10">
        <v>4</v>
      </c>
      <c r="N11" s="10">
        <v>10</v>
      </c>
      <c r="O11" s="10">
        <v>6</v>
      </c>
      <c r="P11" s="10">
        <v>3</v>
      </c>
      <c r="Q11" s="10">
        <v>5</v>
      </c>
      <c r="R11" s="10">
        <v>10</v>
      </c>
      <c r="S11" s="13">
        <v>45985</v>
      </c>
      <c r="T11" s="10"/>
      <c r="U11" s="10" t="s">
        <v>53</v>
      </c>
    </row>
    <row r="12" spans="1:21" x14ac:dyDescent="0.25">
      <c r="A12" s="1" t="s">
        <v>66</v>
      </c>
      <c r="B12" s="10">
        <v>567</v>
      </c>
      <c r="C12" s="10">
        <v>3000</v>
      </c>
      <c r="D12" s="19">
        <f t="shared" si="0"/>
        <v>15</v>
      </c>
      <c r="E12" s="10"/>
      <c r="F12" s="10"/>
      <c r="G12" s="10"/>
      <c r="H12" s="10"/>
      <c r="I12" s="10"/>
      <c r="J12" s="10"/>
      <c r="K12" s="10">
        <v>3</v>
      </c>
      <c r="L12" s="10">
        <v>3</v>
      </c>
      <c r="M12" s="10">
        <v>3</v>
      </c>
      <c r="N12" s="10"/>
      <c r="O12" s="10"/>
      <c r="P12" s="10"/>
      <c r="Q12" s="10">
        <v>3</v>
      </c>
      <c r="R12" s="10">
        <v>3</v>
      </c>
      <c r="S12" s="13">
        <v>45986</v>
      </c>
      <c r="T12" s="10"/>
      <c r="U12" s="10"/>
    </row>
    <row r="13" spans="1:21" x14ac:dyDescent="0.25">
      <c r="A13" s="1" t="s">
        <v>66</v>
      </c>
      <c r="B13" s="10">
        <v>568</v>
      </c>
      <c r="C13" s="10">
        <v>9219</v>
      </c>
      <c r="D13" s="19">
        <f t="shared" si="0"/>
        <v>12</v>
      </c>
      <c r="E13" s="10">
        <v>4</v>
      </c>
      <c r="F13" s="10">
        <v>4</v>
      </c>
      <c r="G13" s="10"/>
      <c r="H13" s="10"/>
      <c r="I13" s="10">
        <v>2</v>
      </c>
      <c r="J13" s="10">
        <v>2</v>
      </c>
      <c r="K13" s="10"/>
      <c r="L13" s="10"/>
      <c r="M13" s="10"/>
      <c r="N13" s="10"/>
      <c r="O13" s="10"/>
      <c r="P13" s="10"/>
      <c r="Q13" s="10"/>
      <c r="R13" s="10"/>
      <c r="S13" s="13">
        <v>45986</v>
      </c>
      <c r="T13" s="10" t="s">
        <v>25</v>
      </c>
      <c r="U13" s="10" t="s">
        <v>25</v>
      </c>
    </row>
    <row r="14" spans="1:21" x14ac:dyDescent="0.25">
      <c r="A14" s="1" t="s">
        <v>66</v>
      </c>
      <c r="B14" s="10">
        <v>569</v>
      </c>
      <c r="C14" s="10">
        <v>3000</v>
      </c>
      <c r="D14" s="19">
        <f t="shared" si="0"/>
        <v>16</v>
      </c>
      <c r="E14" s="10"/>
      <c r="F14" s="10"/>
      <c r="G14" s="10"/>
      <c r="H14" s="10"/>
      <c r="I14" s="10"/>
      <c r="J14" s="10"/>
      <c r="K14" s="10">
        <v>2</v>
      </c>
      <c r="L14" s="10">
        <v>2</v>
      </c>
      <c r="M14" s="10"/>
      <c r="N14" s="10">
        <v>6</v>
      </c>
      <c r="O14" s="10">
        <v>2</v>
      </c>
      <c r="P14" s="10">
        <v>2</v>
      </c>
      <c r="Q14" s="10"/>
      <c r="R14" s="10">
        <v>2</v>
      </c>
      <c r="S14" s="13">
        <v>45986</v>
      </c>
      <c r="T14" s="10"/>
      <c r="U14" s="10"/>
    </row>
    <row r="15" spans="1:21" x14ac:dyDescent="0.25">
      <c r="A15" s="1" t="s">
        <v>67</v>
      </c>
      <c r="B15" s="10">
        <v>571</v>
      </c>
      <c r="C15" s="10">
        <v>9213</v>
      </c>
      <c r="D15" s="19">
        <f t="shared" si="0"/>
        <v>14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1</v>
      </c>
      <c r="S15" s="13">
        <v>45987</v>
      </c>
      <c r="T15" s="10"/>
      <c r="U15" s="10"/>
    </row>
    <row r="16" spans="1:21" x14ac:dyDescent="0.25">
      <c r="A16" s="1" t="s">
        <v>68</v>
      </c>
      <c r="B16" s="10">
        <v>572</v>
      </c>
      <c r="C16" s="10">
        <v>9201</v>
      </c>
      <c r="D16" s="19">
        <f t="shared" si="0"/>
        <v>36</v>
      </c>
      <c r="E16" s="10">
        <v>2</v>
      </c>
      <c r="F16" s="10">
        <v>2</v>
      </c>
      <c r="G16" s="10">
        <v>2</v>
      </c>
      <c r="H16" s="10">
        <v>2</v>
      </c>
      <c r="I16" s="10">
        <v>2</v>
      </c>
      <c r="J16" s="10">
        <v>2</v>
      </c>
      <c r="K16" s="10">
        <v>4</v>
      </c>
      <c r="L16" s="10">
        <v>2</v>
      </c>
      <c r="M16" s="10">
        <v>4</v>
      </c>
      <c r="N16" s="10">
        <v>2</v>
      </c>
      <c r="O16" s="10">
        <v>4</v>
      </c>
      <c r="P16" s="10">
        <v>2</v>
      </c>
      <c r="Q16" s="10">
        <v>4</v>
      </c>
      <c r="R16" s="10">
        <v>2</v>
      </c>
      <c r="S16" s="13">
        <v>45987</v>
      </c>
      <c r="T16" s="10" t="s">
        <v>25</v>
      </c>
      <c r="U16" s="10" t="s">
        <v>25</v>
      </c>
    </row>
    <row r="17" spans="1:21" x14ac:dyDescent="0.25">
      <c r="A17" s="1" t="s">
        <v>68</v>
      </c>
      <c r="B17" s="10">
        <v>573</v>
      </c>
      <c r="C17" s="10">
        <v>9225</v>
      </c>
      <c r="D17" s="19">
        <f t="shared" si="0"/>
        <v>36</v>
      </c>
      <c r="E17" s="10">
        <v>2</v>
      </c>
      <c r="F17" s="10">
        <v>2</v>
      </c>
      <c r="G17" s="10">
        <v>2</v>
      </c>
      <c r="H17" s="10">
        <v>2</v>
      </c>
      <c r="I17" s="10">
        <v>2</v>
      </c>
      <c r="J17" s="10">
        <v>2</v>
      </c>
      <c r="K17" s="10">
        <v>4</v>
      </c>
      <c r="L17" s="10">
        <v>2</v>
      </c>
      <c r="M17" s="10">
        <v>4</v>
      </c>
      <c r="N17" s="10">
        <v>2</v>
      </c>
      <c r="O17" s="10">
        <v>4</v>
      </c>
      <c r="P17" s="10">
        <v>2</v>
      </c>
      <c r="Q17" s="10">
        <v>4</v>
      </c>
      <c r="R17" s="10">
        <v>2</v>
      </c>
      <c r="S17" s="13">
        <v>45987</v>
      </c>
      <c r="T17" s="10" t="s">
        <v>23</v>
      </c>
      <c r="U17" s="10" t="s">
        <v>23</v>
      </c>
    </row>
    <row r="18" spans="1:21" x14ac:dyDescent="0.25">
      <c r="A18" s="1" t="s">
        <v>68</v>
      </c>
      <c r="B18" s="10">
        <v>574</v>
      </c>
      <c r="C18" s="10">
        <v>9225</v>
      </c>
      <c r="D18" s="19">
        <f t="shared" si="0"/>
        <v>36</v>
      </c>
      <c r="E18" s="10">
        <v>2</v>
      </c>
      <c r="F18" s="10">
        <v>2</v>
      </c>
      <c r="G18" s="10">
        <v>2</v>
      </c>
      <c r="H18" s="10">
        <v>2</v>
      </c>
      <c r="I18" s="10">
        <v>2</v>
      </c>
      <c r="J18" s="10">
        <v>2</v>
      </c>
      <c r="K18" s="10">
        <v>4</v>
      </c>
      <c r="L18" s="10">
        <v>2</v>
      </c>
      <c r="M18" s="10">
        <v>4</v>
      </c>
      <c r="N18" s="10">
        <v>2</v>
      </c>
      <c r="O18" s="10">
        <v>4</v>
      </c>
      <c r="P18" s="10">
        <v>2</v>
      </c>
      <c r="Q18" s="10">
        <v>4</v>
      </c>
      <c r="R18" s="10">
        <v>2</v>
      </c>
      <c r="S18" s="13">
        <v>45987</v>
      </c>
      <c r="T18" s="10" t="s">
        <v>23</v>
      </c>
      <c r="U18" s="10" t="s">
        <v>23</v>
      </c>
    </row>
    <row r="19" spans="1:21" x14ac:dyDescent="0.25">
      <c r="A19" s="1" t="s">
        <v>68</v>
      </c>
      <c r="B19" s="10">
        <v>575</v>
      </c>
      <c r="C19" s="10">
        <v>9202</v>
      </c>
      <c r="D19" s="19">
        <f t="shared" si="0"/>
        <v>36</v>
      </c>
      <c r="E19" s="10">
        <v>2</v>
      </c>
      <c r="F19" s="10">
        <v>2</v>
      </c>
      <c r="G19" s="10">
        <v>2</v>
      </c>
      <c r="H19" s="10">
        <v>2</v>
      </c>
      <c r="I19" s="10">
        <v>2</v>
      </c>
      <c r="J19" s="10">
        <v>2</v>
      </c>
      <c r="K19" s="10">
        <v>4</v>
      </c>
      <c r="L19" s="10">
        <v>2</v>
      </c>
      <c r="M19" s="10">
        <v>4</v>
      </c>
      <c r="N19" s="10">
        <v>2</v>
      </c>
      <c r="O19" s="10">
        <v>4</v>
      </c>
      <c r="P19" s="10">
        <v>2</v>
      </c>
      <c r="Q19" s="10">
        <v>4</v>
      </c>
      <c r="R19" s="10">
        <v>2</v>
      </c>
      <c r="S19" s="13">
        <v>45987</v>
      </c>
      <c r="T19" s="10" t="s">
        <v>25</v>
      </c>
      <c r="U19" s="10" t="s">
        <v>25</v>
      </c>
    </row>
    <row r="20" spans="1:21" x14ac:dyDescent="0.25">
      <c r="A20" s="1" t="s">
        <v>68</v>
      </c>
      <c r="B20" s="10">
        <v>576</v>
      </c>
      <c r="C20" s="10">
        <v>9202</v>
      </c>
      <c r="D20" s="19">
        <f t="shared" si="0"/>
        <v>36</v>
      </c>
      <c r="E20" s="10">
        <v>2</v>
      </c>
      <c r="F20" s="10">
        <v>2</v>
      </c>
      <c r="G20" s="10">
        <v>2</v>
      </c>
      <c r="H20" s="10">
        <v>2</v>
      </c>
      <c r="I20" s="10">
        <v>2</v>
      </c>
      <c r="J20" s="10">
        <v>2</v>
      </c>
      <c r="K20" s="10">
        <v>4</v>
      </c>
      <c r="L20" s="10">
        <v>2</v>
      </c>
      <c r="M20" s="10">
        <v>4</v>
      </c>
      <c r="N20" s="10">
        <v>2</v>
      </c>
      <c r="O20" s="10">
        <v>4</v>
      </c>
      <c r="P20" s="10">
        <v>2</v>
      </c>
      <c r="Q20" s="10">
        <v>4</v>
      </c>
      <c r="R20" s="10">
        <v>2</v>
      </c>
      <c r="S20" s="13">
        <v>45987</v>
      </c>
      <c r="T20" s="10" t="s">
        <v>25</v>
      </c>
      <c r="U20" s="10" t="s">
        <v>25</v>
      </c>
    </row>
    <row r="21" spans="1:21" x14ac:dyDescent="0.25">
      <c r="A21" s="1" t="s">
        <v>68</v>
      </c>
      <c r="B21" s="10">
        <v>577</v>
      </c>
      <c r="C21" s="10">
        <v>9205</v>
      </c>
      <c r="D21" s="19">
        <f t="shared" si="0"/>
        <v>36</v>
      </c>
      <c r="E21" s="10">
        <v>2</v>
      </c>
      <c r="F21" s="10">
        <v>2</v>
      </c>
      <c r="G21" s="10">
        <v>2</v>
      </c>
      <c r="H21" s="10">
        <v>2</v>
      </c>
      <c r="I21" s="10">
        <v>2</v>
      </c>
      <c r="J21" s="10">
        <v>2</v>
      </c>
      <c r="K21" s="10">
        <v>4</v>
      </c>
      <c r="L21" s="10">
        <v>2</v>
      </c>
      <c r="M21" s="10">
        <v>4</v>
      </c>
      <c r="N21" s="10">
        <v>2</v>
      </c>
      <c r="O21" s="10">
        <v>4</v>
      </c>
      <c r="P21" s="10">
        <v>2</v>
      </c>
      <c r="Q21" s="10">
        <v>4</v>
      </c>
      <c r="R21" s="10">
        <v>2</v>
      </c>
      <c r="S21" s="13">
        <v>45987</v>
      </c>
      <c r="T21" s="10"/>
      <c r="U21" s="10"/>
    </row>
    <row r="22" spans="1:21" x14ac:dyDescent="0.25">
      <c r="A22" s="1" t="s">
        <v>68</v>
      </c>
      <c r="B22" s="10">
        <v>578</v>
      </c>
      <c r="C22" s="10">
        <v>9219</v>
      </c>
      <c r="D22" s="19">
        <f t="shared" si="0"/>
        <v>36</v>
      </c>
      <c r="E22" s="10">
        <v>2</v>
      </c>
      <c r="F22" s="10">
        <v>2</v>
      </c>
      <c r="G22" s="10">
        <v>2</v>
      </c>
      <c r="H22" s="10">
        <v>2</v>
      </c>
      <c r="I22" s="10">
        <v>2</v>
      </c>
      <c r="J22" s="10">
        <v>2</v>
      </c>
      <c r="K22" s="10">
        <v>4</v>
      </c>
      <c r="L22" s="10">
        <v>2</v>
      </c>
      <c r="M22" s="10">
        <v>4</v>
      </c>
      <c r="N22" s="10">
        <v>2</v>
      </c>
      <c r="O22" s="10">
        <v>4</v>
      </c>
      <c r="P22" s="10">
        <v>2</v>
      </c>
      <c r="Q22" s="10">
        <v>4</v>
      </c>
      <c r="R22" s="10">
        <v>2</v>
      </c>
      <c r="S22" s="13">
        <v>45987</v>
      </c>
      <c r="T22" s="10" t="s">
        <v>25</v>
      </c>
      <c r="U22" s="10" t="s">
        <v>25</v>
      </c>
    </row>
    <row r="23" spans="1:21" x14ac:dyDescent="0.25">
      <c r="A23" s="1" t="s">
        <v>68</v>
      </c>
      <c r="B23" s="10">
        <v>579</v>
      </c>
      <c r="C23" s="10">
        <v>9219</v>
      </c>
      <c r="D23" s="19">
        <f t="shared" si="0"/>
        <v>36</v>
      </c>
      <c r="E23" s="10">
        <v>2</v>
      </c>
      <c r="F23" s="10">
        <v>2</v>
      </c>
      <c r="G23" s="10">
        <v>2</v>
      </c>
      <c r="H23" s="10">
        <v>2</v>
      </c>
      <c r="I23" s="10">
        <v>2</v>
      </c>
      <c r="J23" s="10">
        <v>2</v>
      </c>
      <c r="K23" s="10">
        <v>4</v>
      </c>
      <c r="L23" s="10">
        <v>2</v>
      </c>
      <c r="M23" s="10">
        <v>4</v>
      </c>
      <c r="N23" s="10">
        <v>2</v>
      </c>
      <c r="O23" s="10">
        <v>4</v>
      </c>
      <c r="P23" s="10">
        <v>2</v>
      </c>
      <c r="Q23" s="10">
        <v>4</v>
      </c>
      <c r="R23" s="10">
        <v>2</v>
      </c>
      <c r="S23" s="13">
        <v>45987</v>
      </c>
      <c r="T23" s="10" t="s">
        <v>25</v>
      </c>
      <c r="U23" s="10" t="s">
        <v>25</v>
      </c>
    </row>
    <row r="24" spans="1:21" x14ac:dyDescent="0.25">
      <c r="A24" s="1" t="s">
        <v>69</v>
      </c>
      <c r="B24" s="10">
        <v>580</v>
      </c>
      <c r="C24" s="10">
        <v>9213</v>
      </c>
      <c r="D24" s="19">
        <f t="shared" si="0"/>
        <v>12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0">
        <v>1</v>
      </c>
      <c r="L24" s="10"/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/>
      <c r="S24" s="13">
        <v>45988</v>
      </c>
      <c r="T24" s="10"/>
      <c r="U24" s="10"/>
    </row>
    <row r="25" spans="1:21" x14ac:dyDescent="0.25">
      <c r="A25" s="1" t="s">
        <v>44</v>
      </c>
      <c r="B25" s="10">
        <v>581</v>
      </c>
      <c r="C25" s="10">
        <v>9232</v>
      </c>
      <c r="D25" s="19">
        <f t="shared" si="0"/>
        <v>28</v>
      </c>
      <c r="E25" s="10">
        <v>2</v>
      </c>
      <c r="F25" s="10">
        <v>2</v>
      </c>
      <c r="G25" s="10">
        <v>2</v>
      </c>
      <c r="H25" s="10">
        <v>2</v>
      </c>
      <c r="I25" s="10">
        <v>2</v>
      </c>
      <c r="J25" s="10">
        <v>2</v>
      </c>
      <c r="K25" s="10">
        <v>2</v>
      </c>
      <c r="L25" s="10">
        <v>2</v>
      </c>
      <c r="M25" s="10">
        <v>2</v>
      </c>
      <c r="N25" s="10">
        <v>2</v>
      </c>
      <c r="O25" s="10">
        <v>2</v>
      </c>
      <c r="P25" s="10">
        <v>2</v>
      </c>
      <c r="Q25" s="10">
        <v>2</v>
      </c>
      <c r="R25" s="10">
        <v>2</v>
      </c>
      <c r="S25" s="13">
        <v>45989</v>
      </c>
      <c r="T25" s="10" t="s">
        <v>25</v>
      </c>
      <c r="U25" s="10"/>
    </row>
    <row r="26" spans="1:21" x14ac:dyDescent="0.25">
      <c r="A26" s="1" t="s">
        <v>70</v>
      </c>
      <c r="B26" s="10">
        <v>582</v>
      </c>
      <c r="C26" s="10">
        <v>9219</v>
      </c>
      <c r="D26" s="19">
        <f t="shared" si="0"/>
        <v>72</v>
      </c>
      <c r="E26" s="10"/>
      <c r="F26" s="10"/>
      <c r="G26" s="10"/>
      <c r="H26" s="10"/>
      <c r="I26" s="10"/>
      <c r="J26" s="10"/>
      <c r="K26" s="10">
        <v>12</v>
      </c>
      <c r="L26" s="10">
        <v>6</v>
      </c>
      <c r="M26" s="10">
        <v>12</v>
      </c>
      <c r="N26" s="10">
        <v>6</v>
      </c>
      <c r="O26" s="10">
        <v>12</v>
      </c>
      <c r="P26" s="10">
        <v>6</v>
      </c>
      <c r="Q26" s="10">
        <v>12</v>
      </c>
      <c r="R26" s="10">
        <v>6</v>
      </c>
      <c r="S26" s="13">
        <v>45989</v>
      </c>
      <c r="T26" s="10" t="s">
        <v>71</v>
      </c>
      <c r="U26" s="10" t="s">
        <v>59</v>
      </c>
    </row>
    <row r="27" spans="1:21" x14ac:dyDescent="0.25">
      <c r="A27" s="1" t="s">
        <v>70</v>
      </c>
      <c r="B27" s="10">
        <v>583</v>
      </c>
      <c r="C27" s="10">
        <v>9228</v>
      </c>
      <c r="D27" s="19">
        <f t="shared" si="0"/>
        <v>72</v>
      </c>
      <c r="E27" s="10"/>
      <c r="F27" s="10"/>
      <c r="G27" s="10"/>
      <c r="H27" s="10"/>
      <c r="I27" s="10"/>
      <c r="J27" s="10"/>
      <c r="K27" s="10">
        <v>12</v>
      </c>
      <c r="L27" s="10">
        <v>6</v>
      </c>
      <c r="M27" s="10">
        <v>12</v>
      </c>
      <c r="N27" s="10">
        <v>6</v>
      </c>
      <c r="O27" s="10">
        <v>12</v>
      </c>
      <c r="P27" s="10">
        <v>6</v>
      </c>
      <c r="Q27" s="10">
        <v>12</v>
      </c>
      <c r="R27" s="10">
        <v>6</v>
      </c>
      <c r="S27" s="13">
        <v>45989</v>
      </c>
      <c r="T27" s="10" t="s">
        <v>53</v>
      </c>
      <c r="U27" s="10" t="s">
        <v>53</v>
      </c>
    </row>
    <row r="28" spans="1:21" x14ac:dyDescent="0.25">
      <c r="A28" s="1" t="s">
        <v>70</v>
      </c>
      <c r="B28" s="10">
        <v>584</v>
      </c>
      <c r="C28" s="10">
        <v>9242</v>
      </c>
      <c r="D28" s="19">
        <f t="shared" si="0"/>
        <v>144</v>
      </c>
      <c r="E28" s="10">
        <v>6</v>
      </c>
      <c r="F28" s="10">
        <v>6</v>
      </c>
      <c r="G28" s="10">
        <v>12</v>
      </c>
      <c r="H28" s="10">
        <v>12</v>
      </c>
      <c r="I28" s="10">
        <v>18</v>
      </c>
      <c r="J28" s="10">
        <v>18</v>
      </c>
      <c r="K28" s="10">
        <v>12</v>
      </c>
      <c r="L28" s="10">
        <v>6</v>
      </c>
      <c r="M28" s="10">
        <v>12</v>
      </c>
      <c r="N28" s="10">
        <v>6</v>
      </c>
      <c r="O28" s="10">
        <v>12</v>
      </c>
      <c r="P28" s="10">
        <v>6</v>
      </c>
      <c r="Q28" s="10">
        <v>12</v>
      </c>
      <c r="R28" s="10">
        <v>6</v>
      </c>
      <c r="S28" s="13">
        <v>45989</v>
      </c>
      <c r="T28" s="10" t="s">
        <v>25</v>
      </c>
      <c r="U28" s="10" t="s">
        <v>25</v>
      </c>
    </row>
    <row r="29" spans="1:21" x14ac:dyDescent="0.25">
      <c r="A29" s="1" t="s">
        <v>70</v>
      </c>
      <c r="B29" s="10">
        <v>585</v>
      </c>
      <c r="C29" s="10">
        <v>9263</v>
      </c>
      <c r="D29" s="19">
        <f t="shared" si="0"/>
        <v>144</v>
      </c>
      <c r="E29" s="10">
        <v>6</v>
      </c>
      <c r="F29" s="10">
        <v>6</v>
      </c>
      <c r="G29" s="10">
        <v>12</v>
      </c>
      <c r="H29" s="10">
        <v>12</v>
      </c>
      <c r="I29" s="10">
        <v>18</v>
      </c>
      <c r="J29" s="10">
        <v>18</v>
      </c>
      <c r="K29" s="10">
        <v>12</v>
      </c>
      <c r="L29" s="10">
        <v>6</v>
      </c>
      <c r="M29" s="10">
        <v>12</v>
      </c>
      <c r="N29" s="10">
        <v>6</v>
      </c>
      <c r="O29" s="10">
        <v>12</v>
      </c>
      <c r="P29" s="10">
        <v>6</v>
      </c>
      <c r="Q29" s="10">
        <v>12</v>
      </c>
      <c r="R29" s="10">
        <v>6</v>
      </c>
      <c r="S29" s="13">
        <v>45989</v>
      </c>
      <c r="T29" s="10" t="s">
        <v>25</v>
      </c>
      <c r="U29" s="10" t="s">
        <v>25</v>
      </c>
    </row>
    <row r="30" spans="1:21" x14ac:dyDescent="0.25">
      <c r="B30" s="16"/>
      <c r="C30" s="16"/>
      <c r="D30" s="19">
        <f>SUM(D3:D29)</f>
        <v>1193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2:21" x14ac:dyDescent="0.25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2:21" x14ac:dyDescent="0.25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2:21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2:21" x14ac:dyDescent="0.2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2:21" x14ac:dyDescent="0.2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2:21" x14ac:dyDescent="0.25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2:21" x14ac:dyDescent="0.25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</sheetData>
  <mergeCells count="4">
    <mergeCell ref="A1:D1"/>
    <mergeCell ref="E1:R1"/>
    <mergeCell ref="S1:S2"/>
    <mergeCell ref="T1:U1"/>
  </mergeCells>
  <pageMargins left="0.7" right="0.7" top="0.75" bottom="0.75" header="0.3" footer="0.3"/>
  <ignoredErrors>
    <ignoredError sqref="D3:D5 D6:D25 D26:D29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56"/>
  <sheetViews>
    <sheetView topLeftCell="A43" workbookViewId="0">
      <selection activeCell="A11" sqref="A11:XFD16"/>
    </sheetView>
  </sheetViews>
  <sheetFormatPr defaultColWidth="11.42578125" defaultRowHeight="15" x14ac:dyDescent="0.25"/>
  <cols>
    <col min="1" max="1" width="20.7109375" customWidth="1"/>
    <col min="5" max="5" width="4.140625" customWidth="1"/>
    <col min="6" max="6" width="5.140625" customWidth="1"/>
    <col min="7" max="7" width="4" customWidth="1"/>
    <col min="8" max="8" width="5.7109375" customWidth="1"/>
    <col min="9" max="9" width="4.140625" customWidth="1"/>
    <col min="10" max="10" width="5" customWidth="1"/>
    <col min="11" max="11" width="4.28515625" customWidth="1"/>
    <col min="12" max="12" width="5.42578125" customWidth="1"/>
    <col min="13" max="13" width="4.28515625" customWidth="1"/>
    <col min="14" max="14" width="5.28515625" customWidth="1"/>
    <col min="15" max="15" width="3.5703125" customWidth="1"/>
    <col min="16" max="16" width="5.5703125" customWidth="1"/>
    <col min="17" max="17" width="4.42578125" customWidth="1"/>
    <col min="18" max="18" width="5.42578125" customWidth="1"/>
    <col min="19" max="19" width="16.7109375" customWidth="1"/>
    <col min="20" max="20" width="13.7109375" customWidth="1"/>
    <col min="21" max="21" width="13.42578125" customWidth="1"/>
  </cols>
  <sheetData>
    <row r="1" spans="1:21" ht="18.75" x14ac:dyDescent="0.25">
      <c r="A1" s="63" t="s">
        <v>81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6" t="s">
        <v>0</v>
      </c>
      <c r="B2" s="6" t="s">
        <v>1</v>
      </c>
      <c r="C2" s="6" t="s">
        <v>3</v>
      </c>
      <c r="D2" s="12" t="s">
        <v>2</v>
      </c>
      <c r="E2" s="6">
        <v>15</v>
      </c>
      <c r="F2" s="6">
        <v>15.5</v>
      </c>
      <c r="G2" s="6">
        <v>16</v>
      </c>
      <c r="H2" s="6">
        <v>16.5</v>
      </c>
      <c r="I2" s="6">
        <v>17</v>
      </c>
      <c r="J2" s="6">
        <v>17.5</v>
      </c>
      <c r="K2" s="6">
        <v>18</v>
      </c>
      <c r="L2" s="6">
        <v>18.5</v>
      </c>
      <c r="M2" s="6">
        <v>19</v>
      </c>
      <c r="N2" s="6">
        <v>19.5</v>
      </c>
      <c r="O2" s="6">
        <v>20</v>
      </c>
      <c r="P2" s="6">
        <v>20.5</v>
      </c>
      <c r="Q2" s="6">
        <v>21</v>
      </c>
      <c r="R2" s="6">
        <v>21.5</v>
      </c>
      <c r="S2" s="65"/>
      <c r="T2" s="6" t="s">
        <v>9</v>
      </c>
      <c r="U2" s="6" t="s">
        <v>10</v>
      </c>
    </row>
    <row r="3" spans="1:21" x14ac:dyDescent="0.25">
      <c r="A3" s="1" t="s">
        <v>72</v>
      </c>
      <c r="B3" s="10">
        <v>586</v>
      </c>
      <c r="C3" s="10">
        <v>9225</v>
      </c>
      <c r="D3" s="19">
        <f>SUM(E3:R3)</f>
        <v>24</v>
      </c>
      <c r="E3" s="10">
        <v>2</v>
      </c>
      <c r="F3" s="10">
        <v>2</v>
      </c>
      <c r="G3" s="10">
        <v>2</v>
      </c>
      <c r="H3" s="10">
        <v>2</v>
      </c>
      <c r="I3" s="10">
        <v>2</v>
      </c>
      <c r="J3" s="10">
        <v>2</v>
      </c>
      <c r="K3" s="10">
        <v>2</v>
      </c>
      <c r="L3" s="10">
        <v>1</v>
      </c>
      <c r="M3" s="10">
        <v>2</v>
      </c>
      <c r="N3" s="10">
        <v>1</v>
      </c>
      <c r="O3" s="10">
        <v>2</v>
      </c>
      <c r="P3" s="10">
        <v>1</v>
      </c>
      <c r="Q3" s="10">
        <v>2</v>
      </c>
      <c r="R3" s="10">
        <v>1</v>
      </c>
      <c r="S3" s="13">
        <v>45992</v>
      </c>
      <c r="T3" s="10" t="s">
        <v>23</v>
      </c>
      <c r="U3" s="10" t="s">
        <v>23</v>
      </c>
    </row>
    <row r="4" spans="1:21" x14ac:dyDescent="0.25">
      <c r="A4" s="1" t="s">
        <v>72</v>
      </c>
      <c r="B4" s="10">
        <v>587</v>
      </c>
      <c r="C4" s="10">
        <v>9225</v>
      </c>
      <c r="D4" s="19">
        <f t="shared" ref="D4:D55" si="0">SUM(E4:R4)</f>
        <v>24</v>
      </c>
      <c r="E4" s="10">
        <v>2</v>
      </c>
      <c r="F4" s="10">
        <v>2</v>
      </c>
      <c r="G4" s="10">
        <v>2</v>
      </c>
      <c r="H4" s="10">
        <v>2</v>
      </c>
      <c r="I4" s="10">
        <v>2</v>
      </c>
      <c r="J4" s="10">
        <v>2</v>
      </c>
      <c r="K4" s="10">
        <v>2</v>
      </c>
      <c r="L4" s="10">
        <v>1</v>
      </c>
      <c r="M4" s="10">
        <v>2</v>
      </c>
      <c r="N4" s="10">
        <v>1</v>
      </c>
      <c r="O4" s="10">
        <v>2</v>
      </c>
      <c r="P4" s="10">
        <v>1</v>
      </c>
      <c r="Q4" s="10">
        <v>2</v>
      </c>
      <c r="R4" s="10">
        <v>1</v>
      </c>
      <c r="S4" s="13">
        <v>45992</v>
      </c>
      <c r="T4" s="10" t="s">
        <v>23</v>
      </c>
      <c r="U4" s="10" t="s">
        <v>23</v>
      </c>
    </row>
    <row r="5" spans="1:21" x14ac:dyDescent="0.25">
      <c r="A5" s="1" t="s">
        <v>72</v>
      </c>
      <c r="B5" s="10">
        <v>588</v>
      </c>
      <c r="C5" s="10">
        <v>9225</v>
      </c>
      <c r="D5" s="19">
        <f t="shared" si="0"/>
        <v>24</v>
      </c>
      <c r="E5" s="10">
        <v>2</v>
      </c>
      <c r="F5" s="10">
        <v>2</v>
      </c>
      <c r="G5" s="10">
        <v>2</v>
      </c>
      <c r="H5" s="10">
        <v>2</v>
      </c>
      <c r="I5" s="10">
        <v>2</v>
      </c>
      <c r="J5" s="10">
        <v>2</v>
      </c>
      <c r="K5" s="10">
        <v>2</v>
      </c>
      <c r="L5" s="10">
        <v>1</v>
      </c>
      <c r="M5" s="10">
        <v>2</v>
      </c>
      <c r="N5" s="10">
        <v>1</v>
      </c>
      <c r="O5" s="10">
        <v>2</v>
      </c>
      <c r="P5" s="10">
        <v>1</v>
      </c>
      <c r="Q5" s="10">
        <v>2</v>
      </c>
      <c r="R5" s="10">
        <v>1</v>
      </c>
      <c r="S5" s="13">
        <v>45992</v>
      </c>
      <c r="T5" s="10" t="s">
        <v>23</v>
      </c>
      <c r="U5" s="10" t="s">
        <v>23</v>
      </c>
    </row>
    <row r="6" spans="1:21" x14ac:dyDescent="0.25">
      <c r="A6" s="1" t="s">
        <v>72</v>
      </c>
      <c r="B6" s="10">
        <v>589</v>
      </c>
      <c r="C6" s="10" t="s">
        <v>30</v>
      </c>
      <c r="D6" s="19">
        <f t="shared" si="0"/>
        <v>24</v>
      </c>
      <c r="E6" s="10">
        <v>2</v>
      </c>
      <c r="F6" s="10">
        <v>2</v>
      </c>
      <c r="G6" s="10">
        <v>2</v>
      </c>
      <c r="H6" s="10">
        <v>2</v>
      </c>
      <c r="I6" s="10">
        <v>2</v>
      </c>
      <c r="J6" s="10">
        <v>2</v>
      </c>
      <c r="K6" s="10">
        <v>2</v>
      </c>
      <c r="L6" s="10">
        <v>1</v>
      </c>
      <c r="M6" s="10">
        <v>2</v>
      </c>
      <c r="N6" s="10">
        <v>1</v>
      </c>
      <c r="O6" s="10">
        <v>2</v>
      </c>
      <c r="P6" s="10">
        <v>1</v>
      </c>
      <c r="Q6" s="10">
        <v>2</v>
      </c>
      <c r="R6" s="10">
        <v>1</v>
      </c>
      <c r="S6" s="13">
        <v>45992</v>
      </c>
      <c r="T6" s="10" t="s">
        <v>23</v>
      </c>
      <c r="U6" s="10" t="s">
        <v>23</v>
      </c>
    </row>
    <row r="7" spans="1:21" x14ac:dyDescent="0.25">
      <c r="A7" s="1" t="s">
        <v>72</v>
      </c>
      <c r="B7" s="10">
        <v>590</v>
      </c>
      <c r="C7" s="10" t="s">
        <v>30</v>
      </c>
      <c r="D7" s="19">
        <f t="shared" si="0"/>
        <v>24</v>
      </c>
      <c r="E7" s="10">
        <v>2</v>
      </c>
      <c r="F7" s="10">
        <v>2</v>
      </c>
      <c r="G7" s="10">
        <v>2</v>
      </c>
      <c r="H7" s="10">
        <v>2</v>
      </c>
      <c r="I7" s="10">
        <v>2</v>
      </c>
      <c r="J7" s="10">
        <v>2</v>
      </c>
      <c r="K7" s="10">
        <v>2</v>
      </c>
      <c r="L7" s="10">
        <v>1</v>
      </c>
      <c r="M7" s="10">
        <v>2</v>
      </c>
      <c r="N7" s="10">
        <v>1</v>
      </c>
      <c r="O7" s="10">
        <v>2</v>
      </c>
      <c r="P7" s="10">
        <v>1</v>
      </c>
      <c r="Q7" s="10">
        <v>2</v>
      </c>
      <c r="R7" s="10">
        <v>1</v>
      </c>
      <c r="S7" s="13">
        <v>45992</v>
      </c>
      <c r="T7" s="10" t="s">
        <v>53</v>
      </c>
      <c r="U7" s="10" t="s">
        <v>53</v>
      </c>
    </row>
    <row r="8" spans="1:21" x14ac:dyDescent="0.25">
      <c r="A8" s="1" t="s">
        <v>72</v>
      </c>
      <c r="B8" s="10">
        <v>591</v>
      </c>
      <c r="C8" s="10">
        <v>9214</v>
      </c>
      <c r="D8" s="19">
        <f t="shared" si="0"/>
        <v>24</v>
      </c>
      <c r="E8" s="10">
        <v>2</v>
      </c>
      <c r="F8" s="10">
        <v>2</v>
      </c>
      <c r="G8" s="10">
        <v>2</v>
      </c>
      <c r="H8" s="10">
        <v>2</v>
      </c>
      <c r="I8" s="10">
        <v>2</v>
      </c>
      <c r="J8" s="10">
        <v>2</v>
      </c>
      <c r="K8" s="10">
        <v>2</v>
      </c>
      <c r="L8" s="10">
        <v>1</v>
      </c>
      <c r="M8" s="10">
        <v>2</v>
      </c>
      <c r="N8" s="10">
        <v>1</v>
      </c>
      <c r="O8" s="10">
        <v>2</v>
      </c>
      <c r="P8" s="10">
        <v>1</v>
      </c>
      <c r="Q8" s="10">
        <v>2</v>
      </c>
      <c r="R8" s="10">
        <v>1</v>
      </c>
      <c r="S8" s="13">
        <v>45992</v>
      </c>
      <c r="T8" s="10" t="s">
        <v>59</v>
      </c>
      <c r="U8" s="10" t="s">
        <v>59</v>
      </c>
    </row>
    <row r="9" spans="1:21" x14ac:dyDescent="0.25">
      <c r="A9" s="1" t="s">
        <v>72</v>
      </c>
      <c r="B9" s="10">
        <v>592</v>
      </c>
      <c r="C9" s="10">
        <v>9214</v>
      </c>
      <c r="D9" s="19">
        <f t="shared" si="0"/>
        <v>24</v>
      </c>
      <c r="E9" s="10">
        <v>2</v>
      </c>
      <c r="F9" s="10">
        <v>2</v>
      </c>
      <c r="G9" s="10">
        <v>2</v>
      </c>
      <c r="H9" s="10">
        <v>2</v>
      </c>
      <c r="I9" s="10">
        <v>2</v>
      </c>
      <c r="J9" s="10">
        <v>2</v>
      </c>
      <c r="K9" s="10">
        <v>2</v>
      </c>
      <c r="L9" s="10">
        <v>1</v>
      </c>
      <c r="M9" s="10">
        <v>2</v>
      </c>
      <c r="N9" s="10">
        <v>1</v>
      </c>
      <c r="O9" s="10">
        <v>2</v>
      </c>
      <c r="P9" s="10">
        <v>1</v>
      </c>
      <c r="Q9" s="10">
        <v>2</v>
      </c>
      <c r="R9" s="10">
        <v>1</v>
      </c>
      <c r="S9" s="13">
        <v>45992</v>
      </c>
      <c r="T9" s="10" t="s">
        <v>59</v>
      </c>
      <c r="U9" s="10" t="s">
        <v>59</v>
      </c>
    </row>
    <row r="10" spans="1:21" x14ac:dyDescent="0.25">
      <c r="A10" s="1" t="s">
        <v>72</v>
      </c>
      <c r="B10" s="10">
        <v>593</v>
      </c>
      <c r="C10" s="10">
        <v>9214</v>
      </c>
      <c r="D10" s="19">
        <f t="shared" si="0"/>
        <v>24</v>
      </c>
      <c r="E10" s="10">
        <v>2</v>
      </c>
      <c r="F10" s="10">
        <v>2</v>
      </c>
      <c r="G10" s="10">
        <v>2</v>
      </c>
      <c r="H10" s="10">
        <v>2</v>
      </c>
      <c r="I10" s="10">
        <v>2</v>
      </c>
      <c r="J10" s="10">
        <v>2</v>
      </c>
      <c r="K10" s="10">
        <v>2</v>
      </c>
      <c r="L10" s="10">
        <v>1</v>
      </c>
      <c r="M10" s="10">
        <v>2</v>
      </c>
      <c r="N10" s="10">
        <v>1</v>
      </c>
      <c r="O10" s="10">
        <v>2</v>
      </c>
      <c r="P10" s="10">
        <v>1</v>
      </c>
      <c r="Q10" s="10">
        <v>2</v>
      </c>
      <c r="R10" s="10">
        <v>1</v>
      </c>
      <c r="S10" s="13">
        <v>45992</v>
      </c>
      <c r="T10" s="10" t="s">
        <v>59</v>
      </c>
      <c r="U10" s="10" t="s">
        <v>59</v>
      </c>
    </row>
    <row r="11" spans="1:21" x14ac:dyDescent="0.25">
      <c r="A11" s="1" t="s">
        <v>33</v>
      </c>
      <c r="B11" s="10">
        <v>594</v>
      </c>
      <c r="C11" s="10">
        <v>9264</v>
      </c>
      <c r="D11" s="19">
        <f t="shared" si="0"/>
        <v>72</v>
      </c>
      <c r="E11" s="10">
        <v>6</v>
      </c>
      <c r="F11" s="10">
        <v>6</v>
      </c>
      <c r="G11" s="10">
        <v>6</v>
      </c>
      <c r="H11" s="10">
        <v>6</v>
      </c>
      <c r="I11" s="10">
        <v>6</v>
      </c>
      <c r="J11" s="10">
        <v>6</v>
      </c>
      <c r="K11" s="10">
        <v>6</v>
      </c>
      <c r="L11" s="10">
        <v>3</v>
      </c>
      <c r="M11" s="10">
        <v>6</v>
      </c>
      <c r="N11" s="10">
        <v>3</v>
      </c>
      <c r="O11" s="10">
        <v>6</v>
      </c>
      <c r="P11" s="10">
        <v>3</v>
      </c>
      <c r="Q11" s="10">
        <v>6</v>
      </c>
      <c r="R11" s="10">
        <v>3</v>
      </c>
      <c r="S11" s="13">
        <v>45992</v>
      </c>
      <c r="T11" s="10" t="s">
        <v>53</v>
      </c>
      <c r="U11" s="10" t="s">
        <v>53</v>
      </c>
    </row>
    <row r="12" spans="1:21" x14ac:dyDescent="0.25">
      <c r="A12" s="1" t="s">
        <v>33</v>
      </c>
      <c r="B12" s="10">
        <v>595</v>
      </c>
      <c r="C12" s="10">
        <v>9267</v>
      </c>
      <c r="D12" s="19">
        <f t="shared" si="0"/>
        <v>72</v>
      </c>
      <c r="E12" s="10">
        <v>6</v>
      </c>
      <c r="F12" s="10">
        <v>6</v>
      </c>
      <c r="G12" s="10">
        <v>6</v>
      </c>
      <c r="H12" s="10">
        <v>6</v>
      </c>
      <c r="I12" s="10">
        <v>6</v>
      </c>
      <c r="J12" s="10">
        <v>6</v>
      </c>
      <c r="K12" s="10">
        <v>6</v>
      </c>
      <c r="L12" s="10">
        <v>3</v>
      </c>
      <c r="M12" s="10">
        <v>6</v>
      </c>
      <c r="N12" s="10">
        <v>3</v>
      </c>
      <c r="O12" s="10">
        <v>6</v>
      </c>
      <c r="P12" s="10">
        <v>3</v>
      </c>
      <c r="Q12" s="10">
        <v>6</v>
      </c>
      <c r="R12" s="10">
        <v>3</v>
      </c>
      <c r="S12" s="13">
        <v>45992</v>
      </c>
      <c r="T12" s="10" t="s">
        <v>25</v>
      </c>
      <c r="U12" s="10" t="s">
        <v>25</v>
      </c>
    </row>
    <row r="13" spans="1:21" x14ac:dyDescent="0.25">
      <c r="A13" s="1" t="s">
        <v>33</v>
      </c>
      <c r="B13" s="10">
        <v>596</v>
      </c>
      <c r="C13" s="10">
        <v>9242</v>
      </c>
      <c r="D13" s="19">
        <f t="shared" si="0"/>
        <v>72</v>
      </c>
      <c r="E13" s="10">
        <v>6</v>
      </c>
      <c r="F13" s="10">
        <v>6</v>
      </c>
      <c r="G13" s="10">
        <v>6</v>
      </c>
      <c r="H13" s="10">
        <v>6</v>
      </c>
      <c r="I13" s="10">
        <v>6</v>
      </c>
      <c r="J13" s="10">
        <v>6</v>
      </c>
      <c r="K13" s="10">
        <v>6</v>
      </c>
      <c r="L13" s="10">
        <v>3</v>
      </c>
      <c r="M13" s="10">
        <v>6</v>
      </c>
      <c r="N13" s="10">
        <v>3</v>
      </c>
      <c r="O13" s="10">
        <v>6</v>
      </c>
      <c r="P13" s="10">
        <v>3</v>
      </c>
      <c r="Q13" s="10">
        <v>6</v>
      </c>
      <c r="R13" s="10">
        <v>3</v>
      </c>
      <c r="S13" s="13">
        <v>45992</v>
      </c>
      <c r="T13" s="10" t="s">
        <v>53</v>
      </c>
      <c r="U13" s="10" t="s">
        <v>53</v>
      </c>
    </row>
    <row r="14" spans="1:21" x14ac:dyDescent="0.25">
      <c r="A14" s="1" t="s">
        <v>33</v>
      </c>
      <c r="B14" s="10">
        <v>597</v>
      </c>
      <c r="C14" s="10">
        <v>9262</v>
      </c>
      <c r="D14" s="19">
        <f t="shared" si="0"/>
        <v>72</v>
      </c>
      <c r="E14" s="10">
        <v>6</v>
      </c>
      <c r="F14" s="10">
        <v>6</v>
      </c>
      <c r="G14" s="10">
        <v>6</v>
      </c>
      <c r="H14" s="10">
        <v>6</v>
      </c>
      <c r="I14" s="10">
        <v>6</v>
      </c>
      <c r="J14" s="10">
        <v>6</v>
      </c>
      <c r="K14" s="10">
        <v>6</v>
      </c>
      <c r="L14" s="10">
        <v>3</v>
      </c>
      <c r="M14" s="10">
        <v>6</v>
      </c>
      <c r="N14" s="10">
        <v>3</v>
      </c>
      <c r="O14" s="10">
        <v>6</v>
      </c>
      <c r="P14" s="10">
        <v>3</v>
      </c>
      <c r="Q14" s="10">
        <v>6</v>
      </c>
      <c r="R14" s="10">
        <v>3</v>
      </c>
      <c r="S14" s="13">
        <v>45992</v>
      </c>
      <c r="T14" s="10" t="s">
        <v>23</v>
      </c>
      <c r="U14" s="10" t="s">
        <v>23</v>
      </c>
    </row>
    <row r="15" spans="1:21" x14ac:dyDescent="0.25">
      <c r="A15" s="1" t="s">
        <v>33</v>
      </c>
      <c r="B15" s="10">
        <v>598</v>
      </c>
      <c r="C15" s="10">
        <v>9240</v>
      </c>
      <c r="D15" s="19">
        <f t="shared" si="0"/>
        <v>72</v>
      </c>
      <c r="E15" s="10">
        <v>6</v>
      </c>
      <c r="F15" s="10">
        <v>6</v>
      </c>
      <c r="G15" s="10">
        <v>6</v>
      </c>
      <c r="H15" s="10">
        <v>6</v>
      </c>
      <c r="I15" s="10">
        <v>6</v>
      </c>
      <c r="J15" s="10">
        <v>6</v>
      </c>
      <c r="K15" s="10">
        <v>6</v>
      </c>
      <c r="L15" s="10">
        <v>3</v>
      </c>
      <c r="M15" s="10">
        <v>6</v>
      </c>
      <c r="N15" s="10">
        <v>3</v>
      </c>
      <c r="O15" s="10">
        <v>6</v>
      </c>
      <c r="P15" s="10">
        <v>3</v>
      </c>
      <c r="Q15" s="10">
        <v>6</v>
      </c>
      <c r="R15" s="10">
        <v>3</v>
      </c>
      <c r="S15" s="13">
        <v>45992</v>
      </c>
      <c r="T15" s="10" t="s">
        <v>25</v>
      </c>
      <c r="U15" s="10" t="s">
        <v>25</v>
      </c>
    </row>
    <row r="16" spans="1:21" x14ac:dyDescent="0.25">
      <c r="A16" s="1" t="s">
        <v>33</v>
      </c>
      <c r="B16" s="10">
        <v>599</v>
      </c>
      <c r="C16" s="10">
        <v>9240</v>
      </c>
      <c r="D16" s="19">
        <f t="shared" si="0"/>
        <v>72</v>
      </c>
      <c r="E16" s="10">
        <v>6</v>
      </c>
      <c r="F16" s="10">
        <v>6</v>
      </c>
      <c r="G16" s="10">
        <v>6</v>
      </c>
      <c r="H16" s="10">
        <v>6</v>
      </c>
      <c r="I16" s="10">
        <v>6</v>
      </c>
      <c r="J16" s="10">
        <v>6</v>
      </c>
      <c r="K16" s="10">
        <v>6</v>
      </c>
      <c r="L16" s="10">
        <v>3</v>
      </c>
      <c r="M16" s="10">
        <v>6</v>
      </c>
      <c r="N16" s="10">
        <v>3</v>
      </c>
      <c r="O16" s="10">
        <v>6</v>
      </c>
      <c r="P16" s="10">
        <v>3</v>
      </c>
      <c r="Q16" s="10">
        <v>6</v>
      </c>
      <c r="R16" s="10">
        <v>3</v>
      </c>
      <c r="S16" s="13">
        <v>45992</v>
      </c>
      <c r="T16" s="10" t="s">
        <v>25</v>
      </c>
      <c r="U16" s="10" t="s">
        <v>25</v>
      </c>
    </row>
    <row r="17" spans="1:21" x14ac:dyDescent="0.25">
      <c r="A17" s="1" t="s">
        <v>29</v>
      </c>
      <c r="B17" s="10">
        <v>600</v>
      </c>
      <c r="C17" s="10">
        <v>9220</v>
      </c>
      <c r="D17" s="19">
        <f t="shared" si="0"/>
        <v>24</v>
      </c>
      <c r="E17" s="10">
        <v>2</v>
      </c>
      <c r="F17" s="10">
        <v>2</v>
      </c>
      <c r="G17" s="10">
        <v>2</v>
      </c>
      <c r="H17" s="10">
        <v>2</v>
      </c>
      <c r="I17" s="10">
        <v>2</v>
      </c>
      <c r="J17" s="10">
        <v>2</v>
      </c>
      <c r="K17" s="10">
        <v>2</v>
      </c>
      <c r="L17" s="10">
        <v>1</v>
      </c>
      <c r="M17" s="10">
        <v>2</v>
      </c>
      <c r="N17" s="10">
        <v>1</v>
      </c>
      <c r="O17" s="10">
        <v>2</v>
      </c>
      <c r="P17" s="10">
        <v>1</v>
      </c>
      <c r="Q17" s="10">
        <v>2</v>
      </c>
      <c r="R17" s="10">
        <v>1</v>
      </c>
      <c r="S17" s="13">
        <v>45992</v>
      </c>
      <c r="T17" s="10" t="s">
        <v>59</v>
      </c>
      <c r="U17" s="10" t="s">
        <v>59</v>
      </c>
    </row>
    <row r="18" spans="1:21" x14ac:dyDescent="0.25">
      <c r="A18" s="1" t="s">
        <v>29</v>
      </c>
      <c r="B18" s="10">
        <v>601</v>
      </c>
      <c r="C18" s="10">
        <v>9213</v>
      </c>
      <c r="D18" s="19">
        <f t="shared" si="0"/>
        <v>24</v>
      </c>
      <c r="E18" s="10">
        <v>2</v>
      </c>
      <c r="F18" s="10">
        <v>2</v>
      </c>
      <c r="G18" s="10">
        <v>2</v>
      </c>
      <c r="H18" s="10">
        <v>2</v>
      </c>
      <c r="I18" s="10">
        <v>2</v>
      </c>
      <c r="J18" s="10">
        <v>2</v>
      </c>
      <c r="K18" s="10">
        <v>2</v>
      </c>
      <c r="L18" s="10">
        <v>1</v>
      </c>
      <c r="M18" s="10">
        <v>2</v>
      </c>
      <c r="N18" s="10">
        <v>1</v>
      </c>
      <c r="O18" s="10">
        <v>2</v>
      </c>
      <c r="P18" s="10">
        <v>1</v>
      </c>
      <c r="Q18" s="10">
        <v>2</v>
      </c>
      <c r="R18" s="10">
        <v>1</v>
      </c>
      <c r="S18" s="13">
        <v>45992</v>
      </c>
      <c r="T18" s="10" t="s">
        <v>59</v>
      </c>
      <c r="U18" s="10" t="s">
        <v>59</v>
      </c>
    </row>
    <row r="19" spans="1:21" x14ac:dyDescent="0.25">
      <c r="A19" s="1" t="s">
        <v>29</v>
      </c>
      <c r="B19" s="10">
        <v>602</v>
      </c>
      <c r="C19" s="10">
        <v>9225</v>
      </c>
      <c r="D19" s="19">
        <f t="shared" si="0"/>
        <v>24</v>
      </c>
      <c r="E19" s="10">
        <v>2</v>
      </c>
      <c r="F19" s="10">
        <v>2</v>
      </c>
      <c r="G19" s="10">
        <v>2</v>
      </c>
      <c r="H19" s="10">
        <v>2</v>
      </c>
      <c r="I19" s="10">
        <v>2</v>
      </c>
      <c r="J19" s="10">
        <v>2</v>
      </c>
      <c r="K19" s="10">
        <v>2</v>
      </c>
      <c r="L19" s="10">
        <v>1</v>
      </c>
      <c r="M19" s="10">
        <v>2</v>
      </c>
      <c r="N19" s="10">
        <v>1</v>
      </c>
      <c r="O19" s="10">
        <v>2</v>
      </c>
      <c r="P19" s="10">
        <v>1</v>
      </c>
      <c r="Q19" s="10">
        <v>2</v>
      </c>
      <c r="R19" s="10">
        <v>1</v>
      </c>
      <c r="S19" s="13">
        <v>45992</v>
      </c>
      <c r="T19" s="10" t="s">
        <v>23</v>
      </c>
      <c r="U19" s="10" t="s">
        <v>23</v>
      </c>
    </row>
    <row r="20" spans="1:21" x14ac:dyDescent="0.25">
      <c r="A20" s="1" t="s">
        <v>29</v>
      </c>
      <c r="B20" s="10">
        <v>603</v>
      </c>
      <c r="C20" s="10">
        <v>9205</v>
      </c>
      <c r="D20" s="19">
        <f t="shared" si="0"/>
        <v>24</v>
      </c>
      <c r="E20" s="10">
        <v>2</v>
      </c>
      <c r="F20" s="10">
        <v>2</v>
      </c>
      <c r="G20" s="10">
        <v>2</v>
      </c>
      <c r="H20" s="10">
        <v>2</v>
      </c>
      <c r="I20" s="10">
        <v>2</v>
      </c>
      <c r="J20" s="10">
        <v>2</v>
      </c>
      <c r="K20" s="10">
        <v>2</v>
      </c>
      <c r="L20" s="10">
        <v>1</v>
      </c>
      <c r="M20" s="10">
        <v>2</v>
      </c>
      <c r="N20" s="10">
        <v>1</v>
      </c>
      <c r="O20" s="10">
        <v>2</v>
      </c>
      <c r="P20" s="10">
        <v>1</v>
      </c>
      <c r="Q20" s="10">
        <v>2</v>
      </c>
      <c r="R20" s="10">
        <v>1</v>
      </c>
      <c r="S20" s="13">
        <v>45992</v>
      </c>
      <c r="T20" s="10" t="s">
        <v>53</v>
      </c>
      <c r="U20" s="10" t="s">
        <v>53</v>
      </c>
    </row>
    <row r="21" spans="1:21" x14ac:dyDescent="0.25">
      <c r="A21" s="1" t="s">
        <v>29</v>
      </c>
      <c r="B21" s="10">
        <v>604</v>
      </c>
      <c r="C21" s="10">
        <v>9228</v>
      </c>
      <c r="D21" s="19">
        <f t="shared" si="0"/>
        <v>24</v>
      </c>
      <c r="E21" s="10">
        <v>2</v>
      </c>
      <c r="F21" s="10">
        <v>2</v>
      </c>
      <c r="G21" s="10">
        <v>2</v>
      </c>
      <c r="H21" s="10">
        <v>2</v>
      </c>
      <c r="I21" s="10">
        <v>2</v>
      </c>
      <c r="J21" s="10">
        <v>2</v>
      </c>
      <c r="K21" s="10">
        <v>2</v>
      </c>
      <c r="L21" s="10">
        <v>1</v>
      </c>
      <c r="M21" s="10">
        <v>2</v>
      </c>
      <c r="N21" s="10">
        <v>1</v>
      </c>
      <c r="O21" s="10">
        <v>2</v>
      </c>
      <c r="P21" s="10">
        <v>1</v>
      </c>
      <c r="Q21" s="10">
        <v>2</v>
      </c>
      <c r="R21" s="10">
        <v>1</v>
      </c>
      <c r="S21" s="13">
        <v>45992</v>
      </c>
      <c r="T21" s="10" t="s">
        <v>53</v>
      </c>
      <c r="U21" s="10" t="s">
        <v>53</v>
      </c>
    </row>
    <row r="22" spans="1:21" x14ac:dyDescent="0.25">
      <c r="A22" s="1" t="s">
        <v>29</v>
      </c>
      <c r="B22" s="10">
        <v>605</v>
      </c>
      <c r="C22" s="10">
        <v>9220</v>
      </c>
      <c r="D22" s="19">
        <f t="shared" si="0"/>
        <v>24</v>
      </c>
      <c r="E22" s="10">
        <v>2</v>
      </c>
      <c r="F22" s="10">
        <v>2</v>
      </c>
      <c r="G22" s="10">
        <v>2</v>
      </c>
      <c r="H22" s="10">
        <v>2</v>
      </c>
      <c r="I22" s="10">
        <v>2</v>
      </c>
      <c r="J22" s="10">
        <v>2</v>
      </c>
      <c r="K22" s="10">
        <v>2</v>
      </c>
      <c r="L22" s="10">
        <v>1</v>
      </c>
      <c r="M22" s="10">
        <v>2</v>
      </c>
      <c r="N22" s="10">
        <v>1</v>
      </c>
      <c r="O22" s="10">
        <v>2</v>
      </c>
      <c r="P22" s="10">
        <v>1</v>
      </c>
      <c r="Q22" s="10">
        <v>2</v>
      </c>
      <c r="R22" s="10">
        <v>1</v>
      </c>
      <c r="S22" s="13">
        <v>45992</v>
      </c>
      <c r="T22" s="10" t="s">
        <v>59</v>
      </c>
      <c r="U22" s="10" t="s">
        <v>59</v>
      </c>
    </row>
    <row r="23" spans="1:21" x14ac:dyDescent="0.25">
      <c r="A23" s="1" t="s">
        <v>29</v>
      </c>
      <c r="B23" s="10">
        <v>606</v>
      </c>
      <c r="C23" s="10">
        <v>9201</v>
      </c>
      <c r="D23" s="19">
        <f t="shared" si="0"/>
        <v>24</v>
      </c>
      <c r="E23" s="10">
        <v>2</v>
      </c>
      <c r="F23" s="10">
        <v>2</v>
      </c>
      <c r="G23" s="10">
        <v>2</v>
      </c>
      <c r="H23" s="10">
        <v>2</v>
      </c>
      <c r="I23" s="10">
        <v>2</v>
      </c>
      <c r="J23" s="10">
        <v>2</v>
      </c>
      <c r="K23" s="10">
        <v>2</v>
      </c>
      <c r="L23" s="10">
        <v>1</v>
      </c>
      <c r="M23" s="10">
        <v>2</v>
      </c>
      <c r="N23" s="10">
        <v>1</v>
      </c>
      <c r="O23" s="10">
        <v>2</v>
      </c>
      <c r="P23" s="10">
        <v>1</v>
      </c>
      <c r="Q23" s="10">
        <v>2</v>
      </c>
      <c r="R23" s="10">
        <v>1</v>
      </c>
      <c r="S23" s="13">
        <v>45992</v>
      </c>
      <c r="T23" s="10" t="s">
        <v>59</v>
      </c>
      <c r="U23" s="10" t="s">
        <v>59</v>
      </c>
    </row>
    <row r="24" spans="1:21" x14ac:dyDescent="0.25">
      <c r="A24" s="1" t="s">
        <v>29</v>
      </c>
      <c r="B24" s="10">
        <v>607</v>
      </c>
      <c r="C24" s="10">
        <v>9218</v>
      </c>
      <c r="D24" s="19">
        <f t="shared" si="0"/>
        <v>24</v>
      </c>
      <c r="E24" s="10">
        <v>2</v>
      </c>
      <c r="F24" s="10">
        <v>2</v>
      </c>
      <c r="G24" s="10">
        <v>2</v>
      </c>
      <c r="H24" s="10">
        <v>2</v>
      </c>
      <c r="I24" s="10">
        <v>2</v>
      </c>
      <c r="J24" s="10">
        <v>2</v>
      </c>
      <c r="K24" s="10">
        <v>2</v>
      </c>
      <c r="L24" s="10">
        <v>1</v>
      </c>
      <c r="M24" s="10">
        <v>2</v>
      </c>
      <c r="N24" s="10">
        <v>1</v>
      </c>
      <c r="O24" s="10">
        <v>2</v>
      </c>
      <c r="P24" s="10">
        <v>1</v>
      </c>
      <c r="Q24" s="10">
        <v>2</v>
      </c>
      <c r="R24" s="10">
        <v>1</v>
      </c>
      <c r="S24" s="13">
        <v>45992</v>
      </c>
      <c r="T24" s="10" t="s">
        <v>23</v>
      </c>
      <c r="U24" s="10" t="s">
        <v>23</v>
      </c>
    </row>
    <row r="25" spans="1:21" x14ac:dyDescent="0.25">
      <c r="A25" s="1" t="s">
        <v>29</v>
      </c>
      <c r="B25" s="10">
        <v>608</v>
      </c>
      <c r="C25" s="10">
        <v>9229</v>
      </c>
      <c r="D25" s="19">
        <f t="shared" si="0"/>
        <v>24</v>
      </c>
      <c r="E25" s="10">
        <v>2</v>
      </c>
      <c r="F25" s="10">
        <v>2</v>
      </c>
      <c r="G25" s="10">
        <v>2</v>
      </c>
      <c r="H25" s="10">
        <v>2</v>
      </c>
      <c r="I25" s="10">
        <v>2</v>
      </c>
      <c r="J25" s="10">
        <v>2</v>
      </c>
      <c r="K25" s="10">
        <v>2</v>
      </c>
      <c r="L25" s="10">
        <v>1</v>
      </c>
      <c r="M25" s="10">
        <v>2</v>
      </c>
      <c r="N25" s="10">
        <v>1</v>
      </c>
      <c r="O25" s="10">
        <v>2</v>
      </c>
      <c r="P25" s="10">
        <v>1</v>
      </c>
      <c r="Q25" s="10">
        <v>2</v>
      </c>
      <c r="R25" s="10">
        <v>1</v>
      </c>
      <c r="S25" s="13">
        <v>45992</v>
      </c>
      <c r="T25" s="10" t="s">
        <v>23</v>
      </c>
      <c r="U25" s="10" t="s">
        <v>23</v>
      </c>
    </row>
    <row r="26" spans="1:21" x14ac:dyDescent="0.25">
      <c r="A26" s="1" t="s">
        <v>29</v>
      </c>
      <c r="B26" s="10">
        <v>609</v>
      </c>
      <c r="C26" s="10">
        <v>9209</v>
      </c>
      <c r="D26" s="19">
        <f t="shared" si="0"/>
        <v>24</v>
      </c>
      <c r="E26" s="10">
        <v>2</v>
      </c>
      <c r="F26" s="10">
        <v>2</v>
      </c>
      <c r="G26" s="10">
        <v>2</v>
      </c>
      <c r="H26" s="10">
        <v>2</v>
      </c>
      <c r="I26" s="10">
        <v>2</v>
      </c>
      <c r="J26" s="10">
        <v>2</v>
      </c>
      <c r="K26" s="10">
        <v>2</v>
      </c>
      <c r="L26" s="10">
        <v>1</v>
      </c>
      <c r="M26" s="10">
        <v>2</v>
      </c>
      <c r="N26" s="10">
        <v>1</v>
      </c>
      <c r="O26" s="10">
        <v>2</v>
      </c>
      <c r="P26" s="10">
        <v>1</v>
      </c>
      <c r="Q26" s="10">
        <v>2</v>
      </c>
      <c r="R26" s="10">
        <v>1</v>
      </c>
      <c r="S26" s="13">
        <v>45992</v>
      </c>
      <c r="T26" s="10" t="s">
        <v>49</v>
      </c>
      <c r="U26" s="10" t="s">
        <v>49</v>
      </c>
    </row>
    <row r="27" spans="1:21" x14ac:dyDescent="0.25">
      <c r="A27" s="1" t="s">
        <v>29</v>
      </c>
      <c r="B27" s="10">
        <v>610</v>
      </c>
      <c r="C27" s="10">
        <v>9213</v>
      </c>
      <c r="D27" s="19">
        <f t="shared" si="0"/>
        <v>24</v>
      </c>
      <c r="E27" s="10">
        <v>2</v>
      </c>
      <c r="F27" s="10">
        <v>2</v>
      </c>
      <c r="G27" s="10">
        <v>2</v>
      </c>
      <c r="H27" s="10">
        <v>2</v>
      </c>
      <c r="I27" s="10">
        <v>2</v>
      </c>
      <c r="J27" s="10">
        <v>2</v>
      </c>
      <c r="K27" s="10">
        <v>2</v>
      </c>
      <c r="L27" s="10">
        <v>1</v>
      </c>
      <c r="M27" s="10">
        <v>2</v>
      </c>
      <c r="N27" s="10">
        <v>1</v>
      </c>
      <c r="O27" s="10">
        <v>2</v>
      </c>
      <c r="P27" s="10">
        <v>1</v>
      </c>
      <c r="Q27" s="10">
        <v>2</v>
      </c>
      <c r="R27" s="10">
        <v>1</v>
      </c>
      <c r="S27" s="13">
        <v>45992</v>
      </c>
      <c r="T27" s="10" t="s">
        <v>59</v>
      </c>
      <c r="U27" s="10"/>
    </row>
    <row r="28" spans="1:21" x14ac:dyDescent="0.25">
      <c r="A28" s="1" t="s">
        <v>29</v>
      </c>
      <c r="B28" s="10">
        <v>611</v>
      </c>
      <c r="C28" s="10">
        <v>9201</v>
      </c>
      <c r="D28" s="19">
        <f t="shared" si="0"/>
        <v>24</v>
      </c>
      <c r="E28" s="10">
        <v>2</v>
      </c>
      <c r="F28" s="10">
        <v>2</v>
      </c>
      <c r="G28" s="10">
        <v>2</v>
      </c>
      <c r="H28" s="10">
        <v>2</v>
      </c>
      <c r="I28" s="10">
        <v>2</v>
      </c>
      <c r="J28" s="10">
        <v>2</v>
      </c>
      <c r="K28" s="10">
        <v>2</v>
      </c>
      <c r="L28" s="10">
        <v>1</v>
      </c>
      <c r="M28" s="10">
        <v>2</v>
      </c>
      <c r="N28" s="10">
        <v>1</v>
      </c>
      <c r="O28" s="10">
        <v>2</v>
      </c>
      <c r="P28" s="10">
        <v>1</v>
      </c>
      <c r="Q28" s="10">
        <v>2</v>
      </c>
      <c r="R28" s="10">
        <v>1</v>
      </c>
      <c r="S28" s="13">
        <v>45992</v>
      </c>
      <c r="T28" s="10" t="s">
        <v>53</v>
      </c>
      <c r="U28" s="10" t="s">
        <v>53</v>
      </c>
    </row>
    <row r="29" spans="1:21" x14ac:dyDescent="0.25">
      <c r="A29" s="1" t="s">
        <v>29</v>
      </c>
      <c r="B29" s="10">
        <v>612</v>
      </c>
      <c r="C29" s="10">
        <v>9208</v>
      </c>
      <c r="D29" s="19">
        <f t="shared" si="0"/>
        <v>24</v>
      </c>
      <c r="E29" s="10">
        <v>2</v>
      </c>
      <c r="F29" s="10">
        <v>2</v>
      </c>
      <c r="G29" s="10">
        <v>2</v>
      </c>
      <c r="H29" s="10">
        <v>2</v>
      </c>
      <c r="I29" s="10">
        <v>2</v>
      </c>
      <c r="J29" s="10">
        <v>2</v>
      </c>
      <c r="K29" s="10">
        <v>2</v>
      </c>
      <c r="L29" s="10">
        <v>1</v>
      </c>
      <c r="M29" s="10">
        <v>2</v>
      </c>
      <c r="N29" s="10">
        <v>1</v>
      </c>
      <c r="O29" s="10">
        <v>2</v>
      </c>
      <c r="P29" s="10">
        <v>1</v>
      </c>
      <c r="Q29" s="10">
        <v>2</v>
      </c>
      <c r="R29" s="10">
        <v>1</v>
      </c>
      <c r="S29" s="13">
        <v>45992</v>
      </c>
      <c r="T29" s="10" t="s">
        <v>49</v>
      </c>
      <c r="U29" s="10" t="s">
        <v>49</v>
      </c>
    </row>
    <row r="30" spans="1:21" x14ac:dyDescent="0.25">
      <c r="A30" s="1" t="s">
        <v>36</v>
      </c>
      <c r="B30" s="10">
        <v>613</v>
      </c>
      <c r="C30" s="10">
        <v>9201</v>
      </c>
      <c r="D30" s="19">
        <f t="shared" si="0"/>
        <v>60</v>
      </c>
      <c r="E30" s="1"/>
      <c r="F30" s="1"/>
      <c r="G30" s="1"/>
      <c r="H30" s="1"/>
      <c r="I30" s="1"/>
      <c r="J30" s="1"/>
      <c r="K30" s="1">
        <v>18</v>
      </c>
      <c r="L30" s="1"/>
      <c r="M30" s="1">
        <v>24</v>
      </c>
      <c r="N30" s="1"/>
      <c r="O30" s="1">
        <v>6</v>
      </c>
      <c r="P30" s="1"/>
      <c r="Q30" s="1">
        <v>12</v>
      </c>
      <c r="R30" s="1"/>
      <c r="S30" s="13">
        <v>45992</v>
      </c>
      <c r="T30" s="10" t="s">
        <v>25</v>
      </c>
      <c r="U30" s="10" t="s">
        <v>25</v>
      </c>
    </row>
    <row r="31" spans="1:21" x14ac:dyDescent="0.25">
      <c r="A31" s="1" t="s">
        <v>28</v>
      </c>
      <c r="B31" s="10">
        <v>614</v>
      </c>
      <c r="C31" s="10">
        <v>9211</v>
      </c>
      <c r="D31" s="19">
        <f t="shared" si="0"/>
        <v>24</v>
      </c>
      <c r="E31" s="10">
        <v>2</v>
      </c>
      <c r="F31" s="10">
        <v>2</v>
      </c>
      <c r="G31" s="10">
        <v>2</v>
      </c>
      <c r="H31" s="10">
        <v>2</v>
      </c>
      <c r="I31" s="10">
        <v>2</v>
      </c>
      <c r="J31" s="10">
        <v>2</v>
      </c>
      <c r="K31" s="10">
        <v>2</v>
      </c>
      <c r="L31" s="10">
        <v>1</v>
      </c>
      <c r="M31" s="10">
        <v>2</v>
      </c>
      <c r="N31" s="10">
        <v>1</v>
      </c>
      <c r="O31" s="10">
        <v>2</v>
      </c>
      <c r="P31" s="10">
        <v>1</v>
      </c>
      <c r="Q31" s="10">
        <v>2</v>
      </c>
      <c r="R31" s="10">
        <v>1</v>
      </c>
      <c r="S31" s="13">
        <v>45992</v>
      </c>
      <c r="T31" s="10" t="s">
        <v>59</v>
      </c>
      <c r="U31" s="10" t="s">
        <v>59</v>
      </c>
    </row>
    <row r="32" spans="1:21" x14ac:dyDescent="0.25">
      <c r="A32" s="1" t="s">
        <v>28</v>
      </c>
      <c r="B32" s="10">
        <v>615</v>
      </c>
      <c r="C32" s="10">
        <v>9211</v>
      </c>
      <c r="D32" s="19">
        <f t="shared" si="0"/>
        <v>24</v>
      </c>
      <c r="E32" s="10">
        <v>2</v>
      </c>
      <c r="F32" s="10">
        <v>2</v>
      </c>
      <c r="G32" s="10">
        <v>2</v>
      </c>
      <c r="H32" s="10">
        <v>2</v>
      </c>
      <c r="I32" s="10">
        <v>2</v>
      </c>
      <c r="J32" s="10">
        <v>2</v>
      </c>
      <c r="K32" s="10">
        <v>2</v>
      </c>
      <c r="L32" s="10">
        <v>1</v>
      </c>
      <c r="M32" s="10">
        <v>2</v>
      </c>
      <c r="N32" s="10">
        <v>1</v>
      </c>
      <c r="O32" s="10">
        <v>2</v>
      </c>
      <c r="P32" s="10">
        <v>1</v>
      </c>
      <c r="Q32" s="10">
        <v>2</v>
      </c>
      <c r="R32" s="10">
        <v>1</v>
      </c>
      <c r="S32" s="13">
        <v>45992</v>
      </c>
      <c r="T32" s="10" t="s">
        <v>59</v>
      </c>
      <c r="U32" s="10" t="s">
        <v>59</v>
      </c>
    </row>
    <row r="33" spans="1:21" x14ac:dyDescent="0.25">
      <c r="A33" s="1" t="s">
        <v>28</v>
      </c>
      <c r="B33" s="10">
        <v>616</v>
      </c>
      <c r="C33" s="10">
        <v>9201</v>
      </c>
      <c r="D33" s="19">
        <f t="shared" si="0"/>
        <v>24</v>
      </c>
      <c r="E33" s="10">
        <v>2</v>
      </c>
      <c r="F33" s="10">
        <v>2</v>
      </c>
      <c r="G33" s="10">
        <v>2</v>
      </c>
      <c r="H33" s="10">
        <v>2</v>
      </c>
      <c r="I33" s="10">
        <v>2</v>
      </c>
      <c r="J33" s="10">
        <v>2</v>
      </c>
      <c r="K33" s="10">
        <v>2</v>
      </c>
      <c r="L33" s="10">
        <v>1</v>
      </c>
      <c r="M33" s="10">
        <v>2</v>
      </c>
      <c r="N33" s="10">
        <v>1</v>
      </c>
      <c r="O33" s="10">
        <v>2</v>
      </c>
      <c r="P33" s="10">
        <v>1</v>
      </c>
      <c r="Q33" s="10">
        <v>2</v>
      </c>
      <c r="R33" s="10">
        <v>1</v>
      </c>
      <c r="S33" s="13">
        <v>45992</v>
      </c>
      <c r="T33" s="10" t="s">
        <v>53</v>
      </c>
      <c r="U33" s="10" t="s">
        <v>53</v>
      </c>
    </row>
    <row r="34" spans="1:21" x14ac:dyDescent="0.25">
      <c r="A34" s="1" t="s">
        <v>28</v>
      </c>
      <c r="B34" s="10">
        <v>617</v>
      </c>
      <c r="C34" s="10">
        <v>9201</v>
      </c>
      <c r="D34" s="19">
        <f t="shared" si="0"/>
        <v>24</v>
      </c>
      <c r="E34" s="10">
        <v>2</v>
      </c>
      <c r="F34" s="10">
        <v>2</v>
      </c>
      <c r="G34" s="10">
        <v>2</v>
      </c>
      <c r="H34" s="10">
        <v>2</v>
      </c>
      <c r="I34" s="10">
        <v>2</v>
      </c>
      <c r="J34" s="10">
        <v>2</v>
      </c>
      <c r="K34" s="10">
        <v>2</v>
      </c>
      <c r="L34" s="10">
        <v>1</v>
      </c>
      <c r="M34" s="10">
        <v>2</v>
      </c>
      <c r="N34" s="10">
        <v>1</v>
      </c>
      <c r="O34" s="10">
        <v>2</v>
      </c>
      <c r="P34" s="10">
        <v>1</v>
      </c>
      <c r="Q34" s="10">
        <v>2</v>
      </c>
      <c r="R34" s="10">
        <v>1</v>
      </c>
      <c r="S34" s="13">
        <v>45992</v>
      </c>
      <c r="T34" s="10" t="s">
        <v>53</v>
      </c>
      <c r="U34" s="10" t="s">
        <v>53</v>
      </c>
    </row>
    <row r="35" spans="1:21" x14ac:dyDescent="0.25">
      <c r="A35" s="1" t="s">
        <v>28</v>
      </c>
      <c r="B35" s="10">
        <v>618</v>
      </c>
      <c r="C35" s="10">
        <v>9202</v>
      </c>
      <c r="D35" s="19">
        <f t="shared" si="0"/>
        <v>24</v>
      </c>
      <c r="E35" s="10">
        <v>2</v>
      </c>
      <c r="F35" s="10">
        <v>2</v>
      </c>
      <c r="G35" s="10">
        <v>2</v>
      </c>
      <c r="H35" s="10">
        <v>2</v>
      </c>
      <c r="I35" s="10">
        <v>2</v>
      </c>
      <c r="J35" s="10">
        <v>2</v>
      </c>
      <c r="K35" s="10">
        <v>2</v>
      </c>
      <c r="L35" s="10">
        <v>1</v>
      </c>
      <c r="M35" s="10">
        <v>2</v>
      </c>
      <c r="N35" s="10">
        <v>1</v>
      </c>
      <c r="O35" s="10">
        <v>2</v>
      </c>
      <c r="P35" s="10">
        <v>1</v>
      </c>
      <c r="Q35" s="10">
        <v>2</v>
      </c>
      <c r="R35" s="10">
        <v>1</v>
      </c>
      <c r="S35" s="13">
        <v>45992</v>
      </c>
      <c r="T35" s="10" t="s">
        <v>25</v>
      </c>
      <c r="U35" s="10" t="s">
        <v>25</v>
      </c>
    </row>
    <row r="36" spans="1:21" x14ac:dyDescent="0.25">
      <c r="A36" s="1" t="s">
        <v>28</v>
      </c>
      <c r="B36" s="10">
        <v>619</v>
      </c>
      <c r="C36" s="10">
        <v>9202</v>
      </c>
      <c r="D36" s="19">
        <f t="shared" si="0"/>
        <v>24</v>
      </c>
      <c r="E36" s="10">
        <v>2</v>
      </c>
      <c r="F36" s="10">
        <v>2</v>
      </c>
      <c r="G36" s="10">
        <v>2</v>
      </c>
      <c r="H36" s="10">
        <v>2</v>
      </c>
      <c r="I36" s="10">
        <v>2</v>
      </c>
      <c r="J36" s="10">
        <v>2</v>
      </c>
      <c r="K36" s="10">
        <v>2</v>
      </c>
      <c r="L36" s="10">
        <v>1</v>
      </c>
      <c r="M36" s="10">
        <v>2</v>
      </c>
      <c r="N36" s="10">
        <v>1</v>
      </c>
      <c r="O36" s="10">
        <v>2</v>
      </c>
      <c r="P36" s="10">
        <v>1</v>
      </c>
      <c r="Q36" s="10">
        <v>2</v>
      </c>
      <c r="R36" s="10">
        <v>1</v>
      </c>
      <c r="S36" s="13">
        <v>45992</v>
      </c>
      <c r="T36" s="10" t="s">
        <v>25</v>
      </c>
      <c r="U36" s="10" t="s">
        <v>25</v>
      </c>
    </row>
    <row r="37" spans="1:21" x14ac:dyDescent="0.25">
      <c r="A37" s="1" t="s">
        <v>28</v>
      </c>
      <c r="B37" s="10">
        <v>620</v>
      </c>
      <c r="C37" s="10">
        <v>9228</v>
      </c>
      <c r="D37" s="19">
        <f t="shared" si="0"/>
        <v>24</v>
      </c>
      <c r="E37" s="10">
        <v>2</v>
      </c>
      <c r="F37" s="10">
        <v>2</v>
      </c>
      <c r="G37" s="10">
        <v>2</v>
      </c>
      <c r="H37" s="10">
        <v>2</v>
      </c>
      <c r="I37" s="10">
        <v>2</v>
      </c>
      <c r="J37" s="10">
        <v>2</v>
      </c>
      <c r="K37" s="10">
        <v>2</v>
      </c>
      <c r="L37" s="10">
        <v>1</v>
      </c>
      <c r="M37" s="10">
        <v>2</v>
      </c>
      <c r="N37" s="10">
        <v>1</v>
      </c>
      <c r="O37" s="10">
        <v>2</v>
      </c>
      <c r="P37" s="10">
        <v>1</v>
      </c>
      <c r="Q37" s="10">
        <v>2</v>
      </c>
      <c r="R37" s="10">
        <v>1</v>
      </c>
      <c r="S37" s="13">
        <v>45992</v>
      </c>
      <c r="T37" s="10" t="s">
        <v>25</v>
      </c>
      <c r="U37" s="10" t="s">
        <v>25</v>
      </c>
    </row>
    <row r="38" spans="1:21" x14ac:dyDescent="0.25">
      <c r="A38" s="1" t="s">
        <v>28</v>
      </c>
      <c r="B38" s="10">
        <v>621</v>
      </c>
      <c r="C38" s="10">
        <v>9228</v>
      </c>
      <c r="D38" s="19">
        <f t="shared" si="0"/>
        <v>24</v>
      </c>
      <c r="E38" s="10">
        <v>2</v>
      </c>
      <c r="F38" s="10">
        <v>2</v>
      </c>
      <c r="G38" s="10">
        <v>2</v>
      </c>
      <c r="H38" s="10">
        <v>2</v>
      </c>
      <c r="I38" s="10">
        <v>2</v>
      </c>
      <c r="J38" s="10">
        <v>2</v>
      </c>
      <c r="K38" s="10">
        <v>2</v>
      </c>
      <c r="L38" s="10">
        <v>1</v>
      </c>
      <c r="M38" s="10">
        <v>2</v>
      </c>
      <c r="N38" s="10">
        <v>1</v>
      </c>
      <c r="O38" s="10">
        <v>2</v>
      </c>
      <c r="P38" s="10">
        <v>1</v>
      </c>
      <c r="Q38" s="10">
        <v>2</v>
      </c>
      <c r="R38" s="10">
        <v>1</v>
      </c>
      <c r="S38" s="13">
        <v>45992</v>
      </c>
      <c r="T38" s="10" t="s">
        <v>23</v>
      </c>
      <c r="U38" s="10" t="s">
        <v>23</v>
      </c>
    </row>
    <row r="39" spans="1:21" x14ac:dyDescent="0.25">
      <c r="A39" s="1" t="s">
        <v>28</v>
      </c>
      <c r="B39" s="10">
        <v>622</v>
      </c>
      <c r="C39" s="10">
        <v>9219</v>
      </c>
      <c r="D39" s="19">
        <f t="shared" si="0"/>
        <v>24</v>
      </c>
      <c r="E39" s="10">
        <v>2</v>
      </c>
      <c r="F39" s="10">
        <v>2</v>
      </c>
      <c r="G39" s="10">
        <v>2</v>
      </c>
      <c r="H39" s="10">
        <v>2</v>
      </c>
      <c r="I39" s="10">
        <v>2</v>
      </c>
      <c r="J39" s="10">
        <v>2</v>
      </c>
      <c r="K39" s="10">
        <v>2</v>
      </c>
      <c r="L39" s="10">
        <v>1</v>
      </c>
      <c r="M39" s="10">
        <v>2</v>
      </c>
      <c r="N39" s="10">
        <v>1</v>
      </c>
      <c r="O39" s="10">
        <v>2</v>
      </c>
      <c r="P39" s="10">
        <v>1</v>
      </c>
      <c r="Q39" s="10">
        <v>2</v>
      </c>
      <c r="R39" s="10">
        <v>1</v>
      </c>
      <c r="S39" s="13">
        <v>45992</v>
      </c>
      <c r="T39" s="10"/>
      <c r="U39" s="10"/>
    </row>
    <row r="40" spans="1:21" x14ac:dyDescent="0.25">
      <c r="A40" s="1" t="s">
        <v>28</v>
      </c>
      <c r="B40" s="10">
        <v>623</v>
      </c>
      <c r="C40" s="10">
        <v>9219</v>
      </c>
      <c r="D40" s="19">
        <f t="shared" si="0"/>
        <v>24</v>
      </c>
      <c r="E40" s="10">
        <v>2</v>
      </c>
      <c r="F40" s="10">
        <v>2</v>
      </c>
      <c r="G40" s="10">
        <v>2</v>
      </c>
      <c r="H40" s="10">
        <v>2</v>
      </c>
      <c r="I40" s="10">
        <v>2</v>
      </c>
      <c r="J40" s="10">
        <v>2</v>
      </c>
      <c r="K40" s="10">
        <v>2</v>
      </c>
      <c r="L40" s="10">
        <v>1</v>
      </c>
      <c r="M40" s="10">
        <v>2</v>
      </c>
      <c r="N40" s="10">
        <v>1</v>
      </c>
      <c r="O40" s="10">
        <v>2</v>
      </c>
      <c r="P40" s="10">
        <v>1</v>
      </c>
      <c r="Q40" s="10">
        <v>2</v>
      </c>
      <c r="R40" s="10">
        <v>1</v>
      </c>
      <c r="S40" s="13">
        <v>45992</v>
      </c>
      <c r="T40" s="10" t="s">
        <v>59</v>
      </c>
      <c r="U40" s="10" t="s">
        <v>59</v>
      </c>
    </row>
    <row r="41" spans="1:21" x14ac:dyDescent="0.25">
      <c r="A41" s="1" t="s">
        <v>28</v>
      </c>
      <c r="B41" s="10">
        <v>624</v>
      </c>
      <c r="C41" s="10">
        <v>9209</v>
      </c>
      <c r="D41" s="19">
        <f t="shared" si="0"/>
        <v>24</v>
      </c>
      <c r="E41" s="10">
        <v>2</v>
      </c>
      <c r="F41" s="10">
        <v>2</v>
      </c>
      <c r="G41" s="10">
        <v>2</v>
      </c>
      <c r="H41" s="10">
        <v>2</v>
      </c>
      <c r="I41" s="10">
        <v>2</v>
      </c>
      <c r="J41" s="10">
        <v>2</v>
      </c>
      <c r="K41" s="10">
        <v>2</v>
      </c>
      <c r="L41" s="10">
        <v>1</v>
      </c>
      <c r="M41" s="10">
        <v>2</v>
      </c>
      <c r="N41" s="10">
        <v>1</v>
      </c>
      <c r="O41" s="10">
        <v>2</v>
      </c>
      <c r="P41" s="10">
        <v>1</v>
      </c>
      <c r="Q41" s="10">
        <v>2</v>
      </c>
      <c r="R41" s="10">
        <v>1</v>
      </c>
      <c r="S41" s="13">
        <v>45992</v>
      </c>
      <c r="T41" s="10" t="s">
        <v>49</v>
      </c>
      <c r="U41" s="10" t="s">
        <v>53</v>
      </c>
    </row>
    <row r="42" spans="1:21" x14ac:dyDescent="0.25">
      <c r="A42" s="1" t="s">
        <v>28</v>
      </c>
      <c r="B42" s="10">
        <v>625</v>
      </c>
      <c r="C42" s="10">
        <v>9209</v>
      </c>
      <c r="D42" s="19">
        <f t="shared" si="0"/>
        <v>24</v>
      </c>
      <c r="E42" s="10">
        <v>2</v>
      </c>
      <c r="F42" s="10">
        <v>2</v>
      </c>
      <c r="G42" s="10">
        <v>2</v>
      </c>
      <c r="H42" s="10">
        <v>2</v>
      </c>
      <c r="I42" s="10">
        <v>2</v>
      </c>
      <c r="J42" s="10">
        <v>2</v>
      </c>
      <c r="K42" s="10">
        <v>2</v>
      </c>
      <c r="L42" s="10">
        <v>1</v>
      </c>
      <c r="M42" s="10">
        <v>2</v>
      </c>
      <c r="N42" s="10">
        <v>1</v>
      </c>
      <c r="O42" s="10">
        <v>2</v>
      </c>
      <c r="P42" s="10">
        <v>1</v>
      </c>
      <c r="Q42" s="10">
        <v>2</v>
      </c>
      <c r="R42" s="10">
        <v>1</v>
      </c>
      <c r="S42" s="13">
        <v>45992</v>
      </c>
      <c r="T42" s="10" t="s">
        <v>59</v>
      </c>
      <c r="U42" s="10" t="s">
        <v>23</v>
      </c>
    </row>
    <row r="43" spans="1:21" x14ac:dyDescent="0.25">
      <c r="A43" s="1" t="s">
        <v>28</v>
      </c>
      <c r="B43" s="10">
        <v>626</v>
      </c>
      <c r="C43" s="10">
        <v>9208</v>
      </c>
      <c r="D43" s="19">
        <f t="shared" si="0"/>
        <v>24</v>
      </c>
      <c r="E43" s="10">
        <v>2</v>
      </c>
      <c r="F43" s="10">
        <v>2</v>
      </c>
      <c r="G43" s="10">
        <v>2</v>
      </c>
      <c r="H43" s="10">
        <v>2</v>
      </c>
      <c r="I43" s="10">
        <v>2</v>
      </c>
      <c r="J43" s="10">
        <v>2</v>
      </c>
      <c r="K43" s="10">
        <v>2</v>
      </c>
      <c r="L43" s="10">
        <v>1</v>
      </c>
      <c r="M43" s="10">
        <v>2</v>
      </c>
      <c r="N43" s="10">
        <v>1</v>
      </c>
      <c r="O43" s="10">
        <v>2</v>
      </c>
      <c r="P43" s="10">
        <v>1</v>
      </c>
      <c r="Q43" s="10">
        <v>2</v>
      </c>
      <c r="R43" s="10">
        <v>1</v>
      </c>
      <c r="S43" s="13">
        <v>45992</v>
      </c>
      <c r="T43" s="10" t="s">
        <v>49</v>
      </c>
      <c r="U43" s="10" t="s">
        <v>53</v>
      </c>
    </row>
    <row r="44" spans="1:21" x14ac:dyDescent="0.25">
      <c r="A44" s="1" t="s">
        <v>73</v>
      </c>
      <c r="B44" s="10">
        <v>627</v>
      </c>
      <c r="C44" s="10">
        <v>9232</v>
      </c>
      <c r="D44" s="19">
        <f t="shared" si="0"/>
        <v>44</v>
      </c>
      <c r="E44" s="10">
        <v>2</v>
      </c>
      <c r="F44" s="10">
        <v>2</v>
      </c>
      <c r="G44" s="10">
        <v>2</v>
      </c>
      <c r="H44" s="10">
        <v>2</v>
      </c>
      <c r="I44" s="10">
        <v>2</v>
      </c>
      <c r="J44" s="10">
        <v>2</v>
      </c>
      <c r="K44" s="10">
        <v>4</v>
      </c>
      <c r="L44" s="10">
        <v>4</v>
      </c>
      <c r="M44" s="10">
        <v>4</v>
      </c>
      <c r="N44" s="10">
        <v>4</v>
      </c>
      <c r="O44" s="10">
        <v>4</v>
      </c>
      <c r="P44" s="10">
        <v>4</v>
      </c>
      <c r="Q44" s="10">
        <v>4</v>
      </c>
      <c r="R44" s="10">
        <v>4</v>
      </c>
      <c r="S44" s="13">
        <v>45992</v>
      </c>
      <c r="T44" s="10" t="s">
        <v>25</v>
      </c>
      <c r="U44" s="10" t="s">
        <v>25</v>
      </c>
    </row>
    <row r="45" spans="1:21" x14ac:dyDescent="0.25">
      <c r="A45" s="1" t="s">
        <v>73</v>
      </c>
      <c r="B45" s="10">
        <v>628</v>
      </c>
      <c r="C45" s="10">
        <v>9220</v>
      </c>
      <c r="D45" s="19">
        <f t="shared" si="0"/>
        <v>44</v>
      </c>
      <c r="E45" s="10">
        <v>2</v>
      </c>
      <c r="F45" s="10">
        <v>2</v>
      </c>
      <c r="G45" s="10">
        <v>2</v>
      </c>
      <c r="H45" s="10">
        <v>2</v>
      </c>
      <c r="I45" s="10">
        <v>2</v>
      </c>
      <c r="J45" s="10">
        <v>2</v>
      </c>
      <c r="K45" s="10">
        <v>4</v>
      </c>
      <c r="L45" s="10">
        <v>4</v>
      </c>
      <c r="M45" s="10">
        <v>4</v>
      </c>
      <c r="N45" s="10">
        <v>4</v>
      </c>
      <c r="O45" s="10">
        <v>4</v>
      </c>
      <c r="P45" s="10">
        <v>4</v>
      </c>
      <c r="Q45" s="10">
        <v>4</v>
      </c>
      <c r="R45" s="10">
        <v>4</v>
      </c>
      <c r="S45" s="13">
        <v>45992</v>
      </c>
      <c r="T45" s="10" t="s">
        <v>53</v>
      </c>
      <c r="U45" s="10" t="s">
        <v>53</v>
      </c>
    </row>
    <row r="46" spans="1:21" x14ac:dyDescent="0.25">
      <c r="A46" s="1" t="s">
        <v>73</v>
      </c>
      <c r="B46" s="10">
        <v>629</v>
      </c>
      <c r="C46" s="10">
        <v>1001</v>
      </c>
      <c r="D46" s="19">
        <f t="shared" si="0"/>
        <v>44</v>
      </c>
      <c r="E46" s="10">
        <v>2</v>
      </c>
      <c r="F46" s="10">
        <v>2</v>
      </c>
      <c r="G46" s="10">
        <v>2</v>
      </c>
      <c r="H46" s="10">
        <v>2</v>
      </c>
      <c r="I46" s="10">
        <v>2</v>
      </c>
      <c r="J46" s="10">
        <v>2</v>
      </c>
      <c r="K46" s="10">
        <v>4</v>
      </c>
      <c r="L46" s="10">
        <v>4</v>
      </c>
      <c r="M46" s="10">
        <v>4</v>
      </c>
      <c r="N46" s="10">
        <v>4</v>
      </c>
      <c r="O46" s="10">
        <v>4</v>
      </c>
      <c r="P46" s="10">
        <v>4</v>
      </c>
      <c r="Q46" s="10">
        <v>4</v>
      </c>
      <c r="R46" s="10">
        <v>4</v>
      </c>
      <c r="S46" s="13">
        <v>45992</v>
      </c>
      <c r="T46" s="10" t="s">
        <v>25</v>
      </c>
      <c r="U46" s="10" t="s">
        <v>25</v>
      </c>
    </row>
    <row r="47" spans="1:21" x14ac:dyDescent="0.25">
      <c r="A47" s="1" t="s">
        <v>73</v>
      </c>
      <c r="B47" s="10">
        <v>630</v>
      </c>
      <c r="C47" s="10">
        <v>9219</v>
      </c>
      <c r="D47" s="19">
        <f t="shared" si="0"/>
        <v>44</v>
      </c>
      <c r="E47" s="10">
        <v>2</v>
      </c>
      <c r="F47" s="10">
        <v>2</v>
      </c>
      <c r="G47" s="10">
        <v>2</v>
      </c>
      <c r="H47" s="10">
        <v>2</v>
      </c>
      <c r="I47" s="10">
        <v>2</v>
      </c>
      <c r="J47" s="10">
        <v>2</v>
      </c>
      <c r="K47" s="10">
        <v>4</v>
      </c>
      <c r="L47" s="10">
        <v>4</v>
      </c>
      <c r="M47" s="10">
        <v>4</v>
      </c>
      <c r="N47" s="10">
        <v>4</v>
      </c>
      <c r="O47" s="10">
        <v>4</v>
      </c>
      <c r="P47" s="10">
        <v>4</v>
      </c>
      <c r="Q47" s="10">
        <v>4</v>
      </c>
      <c r="R47" s="10">
        <v>4</v>
      </c>
      <c r="S47" s="13">
        <v>45992</v>
      </c>
      <c r="T47" s="10" t="s">
        <v>53</v>
      </c>
      <c r="U47" s="10" t="s">
        <v>53</v>
      </c>
    </row>
    <row r="48" spans="1:21" x14ac:dyDescent="0.25">
      <c r="A48" s="1" t="s">
        <v>74</v>
      </c>
      <c r="B48" s="10">
        <v>631</v>
      </c>
      <c r="C48" s="10">
        <v>9228</v>
      </c>
      <c r="D48" s="19">
        <f t="shared" si="0"/>
        <v>30</v>
      </c>
      <c r="E48" s="10"/>
      <c r="F48" s="10"/>
      <c r="G48" s="10"/>
      <c r="H48" s="10"/>
      <c r="I48" s="10">
        <v>3</v>
      </c>
      <c r="J48" s="10">
        <v>3</v>
      </c>
      <c r="K48" s="10">
        <v>3</v>
      </c>
      <c r="L48" s="10">
        <v>3</v>
      </c>
      <c r="M48" s="10">
        <v>3</v>
      </c>
      <c r="N48" s="10">
        <v>3</v>
      </c>
      <c r="O48" s="10">
        <v>3</v>
      </c>
      <c r="P48" s="10">
        <v>3</v>
      </c>
      <c r="Q48" s="10">
        <v>3</v>
      </c>
      <c r="R48" s="10">
        <v>3</v>
      </c>
      <c r="S48" s="13">
        <v>45992</v>
      </c>
      <c r="T48" s="10" t="s">
        <v>23</v>
      </c>
      <c r="U48" s="10" t="s">
        <v>23</v>
      </c>
    </row>
    <row r="49" spans="1:21" x14ac:dyDescent="0.25">
      <c r="A49" s="1" t="s">
        <v>74</v>
      </c>
      <c r="B49" s="10">
        <v>632</v>
      </c>
      <c r="C49" s="10">
        <v>9224</v>
      </c>
      <c r="D49" s="19">
        <f t="shared" si="0"/>
        <v>30</v>
      </c>
      <c r="E49" s="10"/>
      <c r="F49" s="10"/>
      <c r="G49" s="10"/>
      <c r="H49" s="10"/>
      <c r="I49" s="10">
        <v>3</v>
      </c>
      <c r="J49" s="10">
        <v>3</v>
      </c>
      <c r="K49" s="10">
        <v>3</v>
      </c>
      <c r="L49" s="10">
        <v>3</v>
      </c>
      <c r="M49" s="10">
        <v>3</v>
      </c>
      <c r="N49" s="10">
        <v>3</v>
      </c>
      <c r="O49" s="10">
        <v>3</v>
      </c>
      <c r="P49" s="10">
        <v>3</v>
      </c>
      <c r="Q49" s="10">
        <v>3</v>
      </c>
      <c r="R49" s="10">
        <v>3</v>
      </c>
      <c r="S49" s="13">
        <v>45992</v>
      </c>
      <c r="T49" s="10" t="s">
        <v>23</v>
      </c>
      <c r="U49" s="10" t="s">
        <v>23</v>
      </c>
    </row>
    <row r="50" spans="1:21" x14ac:dyDescent="0.25">
      <c r="A50" s="1" t="s">
        <v>74</v>
      </c>
      <c r="B50" s="10">
        <v>633</v>
      </c>
      <c r="C50" s="10">
        <v>9205</v>
      </c>
      <c r="D50" s="19">
        <f t="shared" si="0"/>
        <v>30</v>
      </c>
      <c r="E50" s="10"/>
      <c r="F50" s="10"/>
      <c r="G50" s="10"/>
      <c r="H50" s="10"/>
      <c r="I50" s="10">
        <v>3</v>
      </c>
      <c r="J50" s="10">
        <v>3</v>
      </c>
      <c r="K50" s="10">
        <v>3</v>
      </c>
      <c r="L50" s="10">
        <v>3</v>
      </c>
      <c r="M50" s="10">
        <v>3</v>
      </c>
      <c r="N50" s="10">
        <v>3</v>
      </c>
      <c r="O50" s="10">
        <v>3</v>
      </c>
      <c r="P50" s="10">
        <v>3</v>
      </c>
      <c r="Q50" s="10">
        <v>3</v>
      </c>
      <c r="R50" s="10">
        <v>3</v>
      </c>
      <c r="S50" s="13">
        <v>45992</v>
      </c>
      <c r="T50" s="10" t="s">
        <v>59</v>
      </c>
      <c r="U50" s="10" t="s">
        <v>59</v>
      </c>
    </row>
    <row r="51" spans="1:21" x14ac:dyDescent="0.25">
      <c r="A51" s="1" t="s">
        <v>74</v>
      </c>
      <c r="B51" s="10">
        <v>634</v>
      </c>
      <c r="C51" s="10">
        <v>9219</v>
      </c>
      <c r="D51" s="19">
        <f t="shared" si="0"/>
        <v>30</v>
      </c>
      <c r="E51" s="10"/>
      <c r="F51" s="10"/>
      <c r="G51" s="10"/>
      <c r="H51" s="10"/>
      <c r="I51" s="10">
        <v>3</v>
      </c>
      <c r="J51" s="10">
        <v>3</v>
      </c>
      <c r="K51" s="10">
        <v>3</v>
      </c>
      <c r="L51" s="10">
        <v>3</v>
      </c>
      <c r="M51" s="10">
        <v>3</v>
      </c>
      <c r="N51" s="10">
        <v>3</v>
      </c>
      <c r="O51" s="10">
        <v>3</v>
      </c>
      <c r="P51" s="10">
        <v>3</v>
      </c>
      <c r="Q51" s="10">
        <v>3</v>
      </c>
      <c r="R51" s="10">
        <v>3</v>
      </c>
      <c r="S51" s="13">
        <v>45992</v>
      </c>
      <c r="T51" s="10" t="s">
        <v>53</v>
      </c>
      <c r="U51" s="10" t="s">
        <v>53</v>
      </c>
    </row>
    <row r="52" spans="1:21" x14ac:dyDescent="0.25">
      <c r="A52" s="1" t="s">
        <v>74</v>
      </c>
      <c r="B52" s="10">
        <v>635</v>
      </c>
      <c r="C52" s="10">
        <v>9219</v>
      </c>
      <c r="D52" s="19">
        <f t="shared" si="0"/>
        <v>30</v>
      </c>
      <c r="E52" s="10"/>
      <c r="F52" s="10"/>
      <c r="G52" s="10"/>
      <c r="H52" s="10"/>
      <c r="I52" s="10">
        <v>3</v>
      </c>
      <c r="J52" s="10">
        <v>3</v>
      </c>
      <c r="K52" s="10">
        <v>3</v>
      </c>
      <c r="L52" s="10">
        <v>3</v>
      </c>
      <c r="M52" s="10">
        <v>3</v>
      </c>
      <c r="N52" s="10">
        <v>3</v>
      </c>
      <c r="O52" s="10">
        <v>3</v>
      </c>
      <c r="P52" s="10">
        <v>3</v>
      </c>
      <c r="Q52" s="10">
        <v>3</v>
      </c>
      <c r="R52" s="10">
        <v>3</v>
      </c>
      <c r="S52" s="13">
        <v>45992</v>
      </c>
      <c r="T52" s="10" t="s">
        <v>23</v>
      </c>
      <c r="U52" s="10" t="s">
        <v>23</v>
      </c>
    </row>
    <row r="53" spans="1:21" x14ac:dyDescent="0.25">
      <c r="A53" s="1" t="s">
        <v>74</v>
      </c>
      <c r="B53" s="10">
        <v>636</v>
      </c>
      <c r="C53" s="10">
        <v>9004</v>
      </c>
      <c r="D53" s="19">
        <f t="shared" si="0"/>
        <v>32</v>
      </c>
      <c r="E53" s="10">
        <v>2</v>
      </c>
      <c r="F53" s="10">
        <v>2</v>
      </c>
      <c r="G53" s="10">
        <v>2</v>
      </c>
      <c r="H53" s="10">
        <v>2</v>
      </c>
      <c r="I53" s="10">
        <v>3</v>
      </c>
      <c r="J53" s="10">
        <v>3</v>
      </c>
      <c r="K53" s="10">
        <v>3</v>
      </c>
      <c r="L53" s="10">
        <v>3</v>
      </c>
      <c r="M53" s="10">
        <v>2</v>
      </c>
      <c r="N53" s="10">
        <v>2</v>
      </c>
      <c r="O53" s="10">
        <v>2</v>
      </c>
      <c r="P53" s="10">
        <v>2</v>
      </c>
      <c r="Q53" s="10">
        <v>2</v>
      </c>
      <c r="R53" s="10">
        <v>2</v>
      </c>
      <c r="S53" s="13">
        <v>45992</v>
      </c>
      <c r="T53" s="10"/>
      <c r="U53" s="10" t="s">
        <v>23</v>
      </c>
    </row>
    <row r="54" spans="1:21" x14ac:dyDescent="0.25">
      <c r="A54" s="1" t="s">
        <v>74</v>
      </c>
      <c r="B54" s="10">
        <v>637</v>
      </c>
      <c r="C54" s="10">
        <v>9004</v>
      </c>
      <c r="D54" s="19">
        <f t="shared" si="0"/>
        <v>32</v>
      </c>
      <c r="E54" s="10">
        <v>2</v>
      </c>
      <c r="F54" s="10">
        <v>2</v>
      </c>
      <c r="G54" s="10">
        <v>2</v>
      </c>
      <c r="H54" s="10">
        <v>2</v>
      </c>
      <c r="I54" s="10">
        <v>3</v>
      </c>
      <c r="J54" s="10">
        <v>3</v>
      </c>
      <c r="K54" s="10">
        <v>3</v>
      </c>
      <c r="L54" s="10">
        <v>3</v>
      </c>
      <c r="M54" s="10">
        <v>2</v>
      </c>
      <c r="N54" s="10">
        <v>2</v>
      </c>
      <c r="O54" s="10">
        <v>2</v>
      </c>
      <c r="P54" s="10">
        <v>2</v>
      </c>
      <c r="Q54" s="10">
        <v>2</v>
      </c>
      <c r="R54" s="10">
        <v>2</v>
      </c>
      <c r="S54" s="13">
        <v>45992</v>
      </c>
      <c r="T54" s="10"/>
      <c r="U54" s="10" t="s">
        <v>23</v>
      </c>
    </row>
    <row r="55" spans="1:21" x14ac:dyDescent="0.25">
      <c r="A55" s="1" t="s">
        <v>73</v>
      </c>
      <c r="B55" s="10">
        <v>639</v>
      </c>
      <c r="C55" s="10">
        <v>9213</v>
      </c>
      <c r="D55" s="19">
        <f t="shared" si="0"/>
        <v>42</v>
      </c>
      <c r="E55" s="10">
        <v>3</v>
      </c>
      <c r="F55" s="10">
        <v>3</v>
      </c>
      <c r="G55" s="10">
        <v>3</v>
      </c>
      <c r="H55" s="10">
        <v>3</v>
      </c>
      <c r="I55" s="10">
        <v>3</v>
      </c>
      <c r="J55" s="10">
        <v>3</v>
      </c>
      <c r="K55" s="10">
        <v>3</v>
      </c>
      <c r="L55" s="10">
        <v>3</v>
      </c>
      <c r="M55" s="10">
        <v>3</v>
      </c>
      <c r="N55" s="10">
        <v>3</v>
      </c>
      <c r="O55" s="10">
        <v>3</v>
      </c>
      <c r="P55" s="10">
        <v>3</v>
      </c>
      <c r="Q55" s="10">
        <v>3</v>
      </c>
      <c r="R55" s="10">
        <v>3</v>
      </c>
      <c r="S55" s="13">
        <v>45994</v>
      </c>
      <c r="T55" s="10"/>
      <c r="U55" s="10"/>
    </row>
    <row r="56" spans="1:21" x14ac:dyDescent="0.25">
      <c r="D56" s="21">
        <f>SUM(D3:D55)</f>
        <v>1740</v>
      </c>
    </row>
  </sheetData>
  <mergeCells count="4">
    <mergeCell ref="A1:D1"/>
    <mergeCell ref="E1:R1"/>
    <mergeCell ref="S1:S2"/>
    <mergeCell ref="T1:U1"/>
  </mergeCells>
  <pageMargins left="0.7" right="0.7" top="0.75" bottom="0.75" header="0.3" footer="0.3"/>
  <pageSetup paperSize="256" orientation="portrait" horizontalDpi="203" verticalDpi="203" r:id="rId1"/>
  <ignoredErrors>
    <ignoredError sqref="D3:D30 D31:D55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5"/>
  <sheetViews>
    <sheetView topLeftCell="A52" workbookViewId="0">
      <selection activeCell="H63" sqref="H63"/>
    </sheetView>
  </sheetViews>
  <sheetFormatPr defaultColWidth="11.42578125" defaultRowHeight="15" x14ac:dyDescent="0.25"/>
  <cols>
    <col min="1" max="1" width="22.140625" customWidth="1"/>
    <col min="5" max="5" width="4.28515625" customWidth="1"/>
    <col min="6" max="6" width="5.5703125" customWidth="1"/>
    <col min="7" max="7" width="3.7109375" customWidth="1"/>
    <col min="8" max="8" width="4.7109375" customWidth="1"/>
    <col min="9" max="9" width="4.140625" customWidth="1"/>
    <col min="10" max="10" width="5" customWidth="1"/>
    <col min="11" max="11" width="4.28515625" customWidth="1"/>
    <col min="12" max="12" width="5" customWidth="1"/>
    <col min="13" max="13" width="4" customWidth="1"/>
    <col min="14" max="14" width="5.7109375" customWidth="1"/>
    <col min="15" max="15" width="4.5703125" customWidth="1"/>
    <col min="16" max="16" width="5" customWidth="1"/>
    <col min="17" max="18" width="4.7109375" customWidth="1"/>
    <col min="19" max="19" width="17.28515625" customWidth="1"/>
    <col min="20" max="20" width="13.28515625" customWidth="1"/>
    <col min="21" max="21" width="13" customWidth="1"/>
  </cols>
  <sheetData>
    <row r="1" spans="1:21" ht="18.75" x14ac:dyDescent="0.25">
      <c r="A1" s="63" t="s">
        <v>82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6">
        <v>15</v>
      </c>
      <c r="F2" s="6">
        <v>15.5</v>
      </c>
      <c r="G2" s="6">
        <v>16</v>
      </c>
      <c r="H2" s="6">
        <v>16.5</v>
      </c>
      <c r="I2" s="6">
        <v>17</v>
      </c>
      <c r="J2" s="6">
        <v>17.5</v>
      </c>
      <c r="K2" s="6">
        <v>18</v>
      </c>
      <c r="L2" s="6">
        <v>18.5</v>
      </c>
      <c r="M2" s="6">
        <v>19</v>
      </c>
      <c r="N2" s="6">
        <v>19.5</v>
      </c>
      <c r="O2" s="6">
        <v>20</v>
      </c>
      <c r="P2" s="22">
        <v>20.5</v>
      </c>
      <c r="Q2" s="22">
        <v>21</v>
      </c>
      <c r="R2" s="22">
        <v>21.5</v>
      </c>
      <c r="S2" s="65"/>
      <c r="T2" s="6" t="s">
        <v>9</v>
      </c>
      <c r="U2" s="6" t="s">
        <v>10</v>
      </c>
    </row>
    <row r="3" spans="1:21" x14ac:dyDescent="0.25">
      <c r="A3" s="1" t="s">
        <v>75</v>
      </c>
      <c r="B3" s="10">
        <v>642</v>
      </c>
      <c r="C3" s="10">
        <v>9220</v>
      </c>
      <c r="D3" s="19">
        <f>SUM(E3:R3)</f>
        <v>24</v>
      </c>
      <c r="E3" s="10">
        <v>2</v>
      </c>
      <c r="F3" s="10">
        <v>2</v>
      </c>
      <c r="G3" s="10">
        <v>2</v>
      </c>
      <c r="H3" s="10">
        <v>2</v>
      </c>
      <c r="I3" s="10">
        <v>2</v>
      </c>
      <c r="J3" s="10">
        <v>2</v>
      </c>
      <c r="K3" s="10">
        <v>2</v>
      </c>
      <c r="L3" s="10">
        <v>1</v>
      </c>
      <c r="M3" s="10">
        <v>2</v>
      </c>
      <c r="N3" s="10">
        <v>1</v>
      </c>
      <c r="O3" s="10">
        <v>2</v>
      </c>
      <c r="P3" s="10">
        <v>1</v>
      </c>
      <c r="Q3" s="10">
        <v>2</v>
      </c>
      <c r="R3" s="10">
        <v>1</v>
      </c>
      <c r="S3" s="13">
        <v>46001</v>
      </c>
      <c r="T3" s="10" t="s">
        <v>53</v>
      </c>
      <c r="U3" s="10" t="s">
        <v>53</v>
      </c>
    </row>
    <row r="4" spans="1:21" x14ac:dyDescent="0.25">
      <c r="A4" s="1" t="s">
        <v>75</v>
      </c>
      <c r="B4" s="10">
        <v>643</v>
      </c>
      <c r="C4" s="10">
        <v>9213</v>
      </c>
      <c r="D4" s="19">
        <f t="shared" ref="D4:D62" si="0">SUM(E4:R4)</f>
        <v>24</v>
      </c>
      <c r="E4" s="10">
        <v>2</v>
      </c>
      <c r="F4" s="10">
        <v>2</v>
      </c>
      <c r="G4" s="10">
        <v>2</v>
      </c>
      <c r="H4" s="10">
        <v>2</v>
      </c>
      <c r="I4" s="10">
        <v>2</v>
      </c>
      <c r="J4" s="10">
        <v>2</v>
      </c>
      <c r="K4" s="10">
        <v>2</v>
      </c>
      <c r="L4" s="10">
        <v>1</v>
      </c>
      <c r="M4" s="10">
        <v>2</v>
      </c>
      <c r="N4" s="10">
        <v>1</v>
      </c>
      <c r="O4" s="10">
        <v>2</v>
      </c>
      <c r="P4" s="10">
        <v>1</v>
      </c>
      <c r="Q4" s="10">
        <v>2</v>
      </c>
      <c r="R4" s="10">
        <v>1</v>
      </c>
      <c r="S4" s="13">
        <v>46001</v>
      </c>
      <c r="T4" s="10" t="s">
        <v>53</v>
      </c>
      <c r="U4" s="10" t="s">
        <v>53</v>
      </c>
    </row>
    <row r="5" spans="1:21" x14ac:dyDescent="0.25">
      <c r="A5" s="1" t="s">
        <v>75</v>
      </c>
      <c r="B5" s="10">
        <v>644</v>
      </c>
      <c r="C5" s="10">
        <v>9201</v>
      </c>
      <c r="D5" s="19">
        <f t="shared" si="0"/>
        <v>24</v>
      </c>
      <c r="E5" s="10">
        <v>2</v>
      </c>
      <c r="F5" s="10">
        <v>2</v>
      </c>
      <c r="G5" s="10">
        <v>2</v>
      </c>
      <c r="H5" s="10">
        <v>2</v>
      </c>
      <c r="I5" s="10">
        <v>2</v>
      </c>
      <c r="J5" s="10">
        <v>2</v>
      </c>
      <c r="K5" s="10">
        <v>2</v>
      </c>
      <c r="L5" s="10">
        <v>1</v>
      </c>
      <c r="M5" s="10">
        <v>2</v>
      </c>
      <c r="N5" s="10">
        <v>1</v>
      </c>
      <c r="O5" s="10">
        <v>2</v>
      </c>
      <c r="P5" s="10">
        <v>1</v>
      </c>
      <c r="Q5" s="10">
        <v>2</v>
      </c>
      <c r="R5" s="10">
        <v>1</v>
      </c>
      <c r="S5" s="13">
        <v>46001</v>
      </c>
      <c r="T5" s="10" t="s">
        <v>59</v>
      </c>
      <c r="U5" s="10" t="s">
        <v>59</v>
      </c>
    </row>
    <row r="6" spans="1:21" x14ac:dyDescent="0.25">
      <c r="A6" s="1" t="s">
        <v>75</v>
      </c>
      <c r="B6" s="10">
        <v>645</v>
      </c>
      <c r="C6" s="10">
        <v>9213</v>
      </c>
      <c r="D6" s="19">
        <f t="shared" si="0"/>
        <v>24</v>
      </c>
      <c r="E6" s="10">
        <v>2</v>
      </c>
      <c r="F6" s="10">
        <v>2</v>
      </c>
      <c r="G6" s="10">
        <v>2</v>
      </c>
      <c r="H6" s="10">
        <v>2</v>
      </c>
      <c r="I6" s="10">
        <v>2</v>
      </c>
      <c r="J6" s="10">
        <v>2</v>
      </c>
      <c r="K6" s="10">
        <v>2</v>
      </c>
      <c r="L6" s="10">
        <v>1</v>
      </c>
      <c r="M6" s="10">
        <v>2</v>
      </c>
      <c r="N6" s="10">
        <v>1</v>
      </c>
      <c r="O6" s="10">
        <v>2</v>
      </c>
      <c r="P6" s="10">
        <v>1</v>
      </c>
      <c r="Q6" s="10">
        <v>2</v>
      </c>
      <c r="R6" s="10">
        <v>1</v>
      </c>
      <c r="S6" s="13">
        <v>46001</v>
      </c>
      <c r="T6" s="10"/>
      <c r="U6" s="10"/>
    </row>
    <row r="7" spans="1:21" x14ac:dyDescent="0.25">
      <c r="A7" s="1" t="s">
        <v>75</v>
      </c>
      <c r="B7" s="10">
        <v>646</v>
      </c>
      <c r="C7" s="10">
        <v>9201</v>
      </c>
      <c r="D7" s="19">
        <f t="shared" si="0"/>
        <v>24</v>
      </c>
      <c r="E7" s="10">
        <v>2</v>
      </c>
      <c r="F7" s="10">
        <v>2</v>
      </c>
      <c r="G7" s="10">
        <v>2</v>
      </c>
      <c r="H7" s="10">
        <v>2</v>
      </c>
      <c r="I7" s="10">
        <v>2</v>
      </c>
      <c r="J7" s="10">
        <v>2</v>
      </c>
      <c r="K7" s="10">
        <v>2</v>
      </c>
      <c r="L7" s="10">
        <v>1</v>
      </c>
      <c r="M7" s="10">
        <v>2</v>
      </c>
      <c r="N7" s="10">
        <v>1</v>
      </c>
      <c r="O7" s="10">
        <v>2</v>
      </c>
      <c r="P7" s="10">
        <v>1</v>
      </c>
      <c r="Q7" s="10">
        <v>2</v>
      </c>
      <c r="R7" s="10">
        <v>1</v>
      </c>
      <c r="S7" s="13">
        <v>46001</v>
      </c>
      <c r="T7" s="10" t="s">
        <v>53</v>
      </c>
      <c r="U7" s="10"/>
    </row>
    <row r="8" spans="1:21" x14ac:dyDescent="0.25">
      <c r="A8" s="1" t="s">
        <v>75</v>
      </c>
      <c r="B8" s="10">
        <v>647</v>
      </c>
      <c r="C8" s="10" t="s">
        <v>30</v>
      </c>
      <c r="D8" s="19">
        <f t="shared" si="0"/>
        <v>24</v>
      </c>
      <c r="E8" s="10">
        <v>2</v>
      </c>
      <c r="F8" s="10">
        <v>2</v>
      </c>
      <c r="G8" s="10">
        <v>2</v>
      </c>
      <c r="H8" s="10">
        <v>2</v>
      </c>
      <c r="I8" s="10">
        <v>2</v>
      </c>
      <c r="J8" s="10">
        <v>2</v>
      </c>
      <c r="K8" s="10">
        <v>2</v>
      </c>
      <c r="L8" s="10">
        <v>1</v>
      </c>
      <c r="M8" s="10">
        <v>2</v>
      </c>
      <c r="N8" s="10">
        <v>1</v>
      </c>
      <c r="O8" s="10">
        <v>2</v>
      </c>
      <c r="P8" s="10">
        <v>1</v>
      </c>
      <c r="Q8" s="10">
        <v>2</v>
      </c>
      <c r="R8" s="10">
        <v>1</v>
      </c>
      <c r="S8" s="13">
        <v>46001</v>
      </c>
      <c r="T8" s="10" t="s">
        <v>25</v>
      </c>
      <c r="U8" s="10" t="s">
        <v>25</v>
      </c>
    </row>
    <row r="9" spans="1:21" x14ac:dyDescent="0.25">
      <c r="A9" s="1" t="s">
        <v>75</v>
      </c>
      <c r="B9" s="10">
        <v>648</v>
      </c>
      <c r="C9" s="10">
        <v>9214</v>
      </c>
      <c r="D9" s="19">
        <f t="shared" si="0"/>
        <v>24</v>
      </c>
      <c r="E9" s="10">
        <v>2</v>
      </c>
      <c r="F9" s="10">
        <v>2</v>
      </c>
      <c r="G9" s="10">
        <v>2</v>
      </c>
      <c r="H9" s="10">
        <v>2</v>
      </c>
      <c r="I9" s="10">
        <v>2</v>
      </c>
      <c r="J9" s="10">
        <v>2</v>
      </c>
      <c r="K9" s="10">
        <v>2</v>
      </c>
      <c r="L9" s="10">
        <v>1</v>
      </c>
      <c r="M9" s="10">
        <v>2</v>
      </c>
      <c r="N9" s="10">
        <v>1</v>
      </c>
      <c r="O9" s="10">
        <v>2</v>
      </c>
      <c r="P9" s="10">
        <v>1</v>
      </c>
      <c r="Q9" s="10">
        <v>2</v>
      </c>
      <c r="R9" s="10">
        <v>1</v>
      </c>
      <c r="S9" s="13">
        <v>46001</v>
      </c>
      <c r="T9" s="10" t="s">
        <v>53</v>
      </c>
      <c r="U9" s="10"/>
    </row>
    <row r="10" spans="1:21" x14ac:dyDescent="0.25">
      <c r="A10" s="1" t="s">
        <v>75</v>
      </c>
      <c r="B10" s="10">
        <v>649</v>
      </c>
      <c r="C10" s="10">
        <v>9226</v>
      </c>
      <c r="D10" s="19">
        <f t="shared" si="0"/>
        <v>24</v>
      </c>
      <c r="E10" s="10">
        <v>2</v>
      </c>
      <c r="F10" s="10">
        <v>2</v>
      </c>
      <c r="G10" s="10">
        <v>2</v>
      </c>
      <c r="H10" s="10">
        <v>2</v>
      </c>
      <c r="I10" s="10">
        <v>2</v>
      </c>
      <c r="J10" s="10">
        <v>2</v>
      </c>
      <c r="K10" s="10">
        <v>2</v>
      </c>
      <c r="L10" s="10">
        <v>1</v>
      </c>
      <c r="M10" s="10">
        <v>2</v>
      </c>
      <c r="N10" s="10">
        <v>1</v>
      </c>
      <c r="O10" s="10">
        <v>2</v>
      </c>
      <c r="P10" s="10">
        <v>1</v>
      </c>
      <c r="Q10" s="10">
        <v>2</v>
      </c>
      <c r="R10" s="10">
        <v>1</v>
      </c>
      <c r="S10" s="13">
        <v>46001</v>
      </c>
      <c r="T10" s="10" t="s">
        <v>80</v>
      </c>
      <c r="U10" s="10" t="s">
        <v>80</v>
      </c>
    </row>
    <row r="11" spans="1:21" x14ac:dyDescent="0.25">
      <c r="A11" s="1" t="s">
        <v>75</v>
      </c>
      <c r="B11" s="10">
        <v>650</v>
      </c>
      <c r="C11" s="10">
        <v>9238</v>
      </c>
      <c r="D11" s="19">
        <f t="shared" si="0"/>
        <v>24</v>
      </c>
      <c r="E11" s="10">
        <v>2</v>
      </c>
      <c r="F11" s="10">
        <v>2</v>
      </c>
      <c r="G11" s="10">
        <v>2</v>
      </c>
      <c r="H11" s="10">
        <v>2</v>
      </c>
      <c r="I11" s="10">
        <v>2</v>
      </c>
      <c r="J11" s="10">
        <v>2</v>
      </c>
      <c r="K11" s="10">
        <v>2</v>
      </c>
      <c r="L11" s="10">
        <v>1</v>
      </c>
      <c r="M11" s="10">
        <v>2</v>
      </c>
      <c r="N11" s="10">
        <v>1</v>
      </c>
      <c r="O11" s="10">
        <v>2</v>
      </c>
      <c r="P11" s="10">
        <v>1</v>
      </c>
      <c r="Q11" s="10">
        <v>2</v>
      </c>
      <c r="R11" s="10">
        <v>1</v>
      </c>
      <c r="S11" s="13">
        <v>46001</v>
      </c>
      <c r="T11" s="10" t="s">
        <v>25</v>
      </c>
      <c r="U11" s="10" t="s">
        <v>25</v>
      </c>
    </row>
    <row r="12" spans="1:21" x14ac:dyDescent="0.25">
      <c r="A12" s="1" t="s">
        <v>75</v>
      </c>
      <c r="B12" s="10">
        <v>651</v>
      </c>
      <c r="C12" s="10">
        <v>9245</v>
      </c>
      <c r="D12" s="19">
        <f t="shared" si="0"/>
        <v>24</v>
      </c>
      <c r="E12" s="10">
        <v>2</v>
      </c>
      <c r="F12" s="10">
        <v>2</v>
      </c>
      <c r="G12" s="10">
        <v>2</v>
      </c>
      <c r="H12" s="10">
        <v>2</v>
      </c>
      <c r="I12" s="10">
        <v>2</v>
      </c>
      <c r="J12" s="10">
        <v>2</v>
      </c>
      <c r="K12" s="10">
        <v>2</v>
      </c>
      <c r="L12" s="10">
        <v>1</v>
      </c>
      <c r="M12" s="10">
        <v>2</v>
      </c>
      <c r="N12" s="10">
        <v>1</v>
      </c>
      <c r="O12" s="10">
        <v>2</v>
      </c>
      <c r="P12" s="10">
        <v>1</v>
      </c>
      <c r="Q12" s="10">
        <v>2</v>
      </c>
      <c r="R12" s="10">
        <v>1</v>
      </c>
      <c r="S12" s="13">
        <v>46001</v>
      </c>
      <c r="T12" s="10" t="s">
        <v>25</v>
      </c>
      <c r="U12" s="10" t="s">
        <v>25</v>
      </c>
    </row>
    <row r="13" spans="1:21" x14ac:dyDescent="0.25">
      <c r="A13" s="1" t="s">
        <v>60</v>
      </c>
      <c r="B13" s="10">
        <v>652</v>
      </c>
      <c r="C13" s="10">
        <v>9208</v>
      </c>
      <c r="D13" s="19">
        <f t="shared" si="0"/>
        <v>40</v>
      </c>
      <c r="E13" s="10">
        <v>2</v>
      </c>
      <c r="F13" s="10">
        <v>2</v>
      </c>
      <c r="G13" s="10">
        <v>3</v>
      </c>
      <c r="H13" s="10">
        <v>3</v>
      </c>
      <c r="I13" s="10">
        <v>4</v>
      </c>
      <c r="J13" s="10">
        <v>4</v>
      </c>
      <c r="K13" s="10">
        <v>3</v>
      </c>
      <c r="L13" s="10">
        <v>3</v>
      </c>
      <c r="M13" s="10">
        <v>3</v>
      </c>
      <c r="N13" s="10">
        <v>2</v>
      </c>
      <c r="O13" s="10">
        <v>2</v>
      </c>
      <c r="P13" s="10">
        <v>3</v>
      </c>
      <c r="Q13" s="10">
        <v>3</v>
      </c>
      <c r="R13" s="10">
        <v>3</v>
      </c>
      <c r="S13" s="13">
        <v>46001</v>
      </c>
      <c r="T13" s="10" t="s">
        <v>59</v>
      </c>
      <c r="U13" s="10" t="s">
        <v>59</v>
      </c>
    </row>
    <row r="14" spans="1:21" x14ac:dyDescent="0.25">
      <c r="A14" s="1" t="s">
        <v>60</v>
      </c>
      <c r="B14" s="10">
        <v>653</v>
      </c>
      <c r="C14" s="10">
        <v>9225</v>
      </c>
      <c r="D14" s="19">
        <f t="shared" si="0"/>
        <v>40</v>
      </c>
      <c r="E14" s="10">
        <v>2</v>
      </c>
      <c r="F14" s="10">
        <v>2</v>
      </c>
      <c r="G14" s="10">
        <v>3</v>
      </c>
      <c r="H14" s="10">
        <v>3</v>
      </c>
      <c r="I14" s="10">
        <v>4</v>
      </c>
      <c r="J14" s="10">
        <v>4</v>
      </c>
      <c r="K14" s="10">
        <v>3</v>
      </c>
      <c r="L14" s="10">
        <v>3</v>
      </c>
      <c r="M14" s="10">
        <v>3</v>
      </c>
      <c r="N14" s="10">
        <v>2</v>
      </c>
      <c r="O14" s="10">
        <v>2</v>
      </c>
      <c r="P14" s="10">
        <v>3</v>
      </c>
      <c r="Q14" s="10">
        <v>3</v>
      </c>
      <c r="R14" s="10">
        <v>3</v>
      </c>
      <c r="S14" s="13">
        <v>46001</v>
      </c>
      <c r="T14" s="10" t="s">
        <v>80</v>
      </c>
      <c r="U14" s="10" t="s">
        <v>80</v>
      </c>
    </row>
    <row r="15" spans="1:21" x14ac:dyDescent="0.25">
      <c r="A15" s="1" t="s">
        <v>60</v>
      </c>
      <c r="B15" s="10">
        <v>654</v>
      </c>
      <c r="C15" s="10">
        <v>9205</v>
      </c>
      <c r="D15" s="19">
        <f t="shared" si="0"/>
        <v>40</v>
      </c>
      <c r="E15" s="10">
        <v>2</v>
      </c>
      <c r="F15" s="10">
        <v>2</v>
      </c>
      <c r="G15" s="10">
        <v>3</v>
      </c>
      <c r="H15" s="10">
        <v>3</v>
      </c>
      <c r="I15" s="10">
        <v>4</v>
      </c>
      <c r="J15" s="10">
        <v>4</v>
      </c>
      <c r="K15" s="10">
        <v>3</v>
      </c>
      <c r="L15" s="10">
        <v>3</v>
      </c>
      <c r="M15" s="10">
        <v>3</v>
      </c>
      <c r="N15" s="10">
        <v>2</v>
      </c>
      <c r="O15" s="10">
        <v>2</v>
      </c>
      <c r="P15" s="10">
        <v>3</v>
      </c>
      <c r="Q15" s="10">
        <v>3</v>
      </c>
      <c r="R15" s="10">
        <v>3</v>
      </c>
      <c r="S15" s="13">
        <v>46001</v>
      </c>
      <c r="T15" s="10" t="s">
        <v>59</v>
      </c>
      <c r="U15" s="10" t="s">
        <v>59</v>
      </c>
    </row>
    <row r="16" spans="1:21" x14ac:dyDescent="0.25">
      <c r="A16" s="1" t="s">
        <v>60</v>
      </c>
      <c r="B16" s="10">
        <v>655</v>
      </c>
      <c r="C16" s="10">
        <v>9209</v>
      </c>
      <c r="D16" s="19">
        <f t="shared" si="0"/>
        <v>40</v>
      </c>
      <c r="E16" s="10">
        <v>2</v>
      </c>
      <c r="F16" s="10">
        <v>2</v>
      </c>
      <c r="G16" s="10">
        <v>3</v>
      </c>
      <c r="H16" s="10">
        <v>3</v>
      </c>
      <c r="I16" s="10">
        <v>4</v>
      </c>
      <c r="J16" s="10">
        <v>4</v>
      </c>
      <c r="K16" s="10">
        <v>3</v>
      </c>
      <c r="L16" s="10">
        <v>3</v>
      </c>
      <c r="M16" s="10">
        <v>3</v>
      </c>
      <c r="N16" s="10">
        <v>2</v>
      </c>
      <c r="O16" s="10">
        <v>2</v>
      </c>
      <c r="P16" s="10">
        <v>3</v>
      </c>
      <c r="Q16" s="10">
        <v>3</v>
      </c>
      <c r="R16" s="10">
        <v>3</v>
      </c>
      <c r="S16" s="13">
        <v>46001</v>
      </c>
      <c r="T16" s="10" t="s">
        <v>49</v>
      </c>
      <c r="U16" s="10" t="s">
        <v>23</v>
      </c>
    </row>
    <row r="17" spans="1:21" x14ac:dyDescent="0.25">
      <c r="A17" s="1" t="s">
        <v>68</v>
      </c>
      <c r="B17" s="10">
        <v>656</v>
      </c>
      <c r="C17" s="10">
        <v>9201</v>
      </c>
      <c r="D17" s="19">
        <f t="shared" si="0"/>
        <v>36</v>
      </c>
      <c r="E17" s="10">
        <v>2</v>
      </c>
      <c r="F17" s="10">
        <v>2</v>
      </c>
      <c r="G17" s="10">
        <v>2</v>
      </c>
      <c r="H17" s="10">
        <v>2</v>
      </c>
      <c r="I17" s="10">
        <v>2</v>
      </c>
      <c r="J17" s="10">
        <v>2</v>
      </c>
      <c r="K17" s="10">
        <v>4</v>
      </c>
      <c r="L17" s="10">
        <v>2</v>
      </c>
      <c r="M17" s="10">
        <v>4</v>
      </c>
      <c r="N17" s="10">
        <v>2</v>
      </c>
      <c r="O17" s="10">
        <v>4</v>
      </c>
      <c r="P17" s="10">
        <v>2</v>
      </c>
      <c r="Q17" s="10">
        <v>4</v>
      </c>
      <c r="R17" s="10">
        <v>2</v>
      </c>
      <c r="S17" s="13">
        <v>46001</v>
      </c>
      <c r="T17" s="10"/>
      <c r="U17" s="10"/>
    </row>
    <row r="18" spans="1:21" x14ac:dyDescent="0.25">
      <c r="A18" s="1" t="s">
        <v>68</v>
      </c>
      <c r="B18" s="10">
        <v>657</v>
      </c>
      <c r="C18" s="10">
        <v>9225</v>
      </c>
      <c r="D18" s="19">
        <f t="shared" si="0"/>
        <v>36</v>
      </c>
      <c r="E18" s="10">
        <v>2</v>
      </c>
      <c r="F18" s="10">
        <v>2</v>
      </c>
      <c r="G18" s="10">
        <v>2</v>
      </c>
      <c r="H18" s="10">
        <v>2</v>
      </c>
      <c r="I18" s="10">
        <v>2</v>
      </c>
      <c r="J18" s="10">
        <v>2</v>
      </c>
      <c r="K18" s="10">
        <v>4</v>
      </c>
      <c r="L18" s="10">
        <v>2</v>
      </c>
      <c r="M18" s="10">
        <v>4</v>
      </c>
      <c r="N18" s="10">
        <v>2</v>
      </c>
      <c r="O18" s="10">
        <v>4</v>
      </c>
      <c r="P18" s="10">
        <v>2</v>
      </c>
      <c r="Q18" s="10">
        <v>4</v>
      </c>
      <c r="R18" s="10">
        <v>2</v>
      </c>
      <c r="S18" s="13">
        <v>46001</v>
      </c>
      <c r="T18" s="10" t="s">
        <v>80</v>
      </c>
      <c r="U18" s="10" t="s">
        <v>53</v>
      </c>
    </row>
    <row r="19" spans="1:21" x14ac:dyDescent="0.25">
      <c r="A19" s="1" t="s">
        <v>68</v>
      </c>
      <c r="B19" s="10">
        <v>658</v>
      </c>
      <c r="C19" s="10">
        <v>9225</v>
      </c>
      <c r="D19" s="19">
        <f t="shared" si="0"/>
        <v>36</v>
      </c>
      <c r="E19" s="10">
        <v>2</v>
      </c>
      <c r="F19" s="10">
        <v>2</v>
      </c>
      <c r="G19" s="10">
        <v>2</v>
      </c>
      <c r="H19" s="10">
        <v>2</v>
      </c>
      <c r="I19" s="10">
        <v>2</v>
      </c>
      <c r="J19" s="10">
        <v>2</v>
      </c>
      <c r="K19" s="10">
        <v>4</v>
      </c>
      <c r="L19" s="10">
        <v>2</v>
      </c>
      <c r="M19" s="10">
        <v>4</v>
      </c>
      <c r="N19" s="10">
        <v>2</v>
      </c>
      <c r="O19" s="10">
        <v>4</v>
      </c>
      <c r="P19" s="10">
        <v>2</v>
      </c>
      <c r="Q19" s="10">
        <v>4</v>
      </c>
      <c r="R19" s="10">
        <v>2</v>
      </c>
      <c r="S19" s="13">
        <v>46001</v>
      </c>
      <c r="T19" s="10" t="s">
        <v>25</v>
      </c>
      <c r="U19" s="10"/>
    </row>
    <row r="20" spans="1:21" x14ac:dyDescent="0.25">
      <c r="A20" s="1" t="s">
        <v>68</v>
      </c>
      <c r="B20" s="10">
        <v>659</v>
      </c>
      <c r="C20" s="10">
        <v>9202</v>
      </c>
      <c r="D20" s="19">
        <f t="shared" si="0"/>
        <v>36</v>
      </c>
      <c r="E20" s="10">
        <v>2</v>
      </c>
      <c r="F20" s="10">
        <v>2</v>
      </c>
      <c r="G20" s="10">
        <v>2</v>
      </c>
      <c r="H20" s="10">
        <v>2</v>
      </c>
      <c r="I20" s="10">
        <v>2</v>
      </c>
      <c r="J20" s="10">
        <v>2</v>
      </c>
      <c r="K20" s="10">
        <v>4</v>
      </c>
      <c r="L20" s="10">
        <v>2</v>
      </c>
      <c r="M20" s="10">
        <v>4</v>
      </c>
      <c r="N20" s="10">
        <v>2</v>
      </c>
      <c r="O20" s="10">
        <v>4</v>
      </c>
      <c r="P20" s="10">
        <v>2</v>
      </c>
      <c r="Q20" s="10">
        <v>4</v>
      </c>
      <c r="R20" s="10">
        <v>2</v>
      </c>
      <c r="S20" s="13">
        <v>46001</v>
      </c>
      <c r="T20" s="10" t="s">
        <v>53</v>
      </c>
      <c r="U20" s="10" t="s">
        <v>53</v>
      </c>
    </row>
    <row r="21" spans="1:21" x14ac:dyDescent="0.25">
      <c r="A21" s="1" t="s">
        <v>74</v>
      </c>
      <c r="B21" s="10">
        <v>660</v>
      </c>
      <c r="C21" s="10">
        <v>9218</v>
      </c>
      <c r="D21" s="19">
        <f t="shared" si="0"/>
        <v>44</v>
      </c>
      <c r="E21" s="10">
        <v>2</v>
      </c>
      <c r="F21" s="10">
        <v>2</v>
      </c>
      <c r="G21" s="10">
        <v>2</v>
      </c>
      <c r="H21" s="10">
        <v>2</v>
      </c>
      <c r="I21" s="10">
        <v>2</v>
      </c>
      <c r="J21" s="10">
        <v>2</v>
      </c>
      <c r="K21" s="10">
        <v>4</v>
      </c>
      <c r="L21" s="10">
        <v>4</v>
      </c>
      <c r="M21" s="10">
        <v>4</v>
      </c>
      <c r="N21" s="10">
        <v>4</v>
      </c>
      <c r="O21" s="10">
        <v>4</v>
      </c>
      <c r="P21" s="10">
        <v>4</v>
      </c>
      <c r="Q21" s="10">
        <v>4</v>
      </c>
      <c r="R21" s="10">
        <v>4</v>
      </c>
      <c r="S21" s="13">
        <v>46001</v>
      </c>
      <c r="T21" s="10" t="s">
        <v>25</v>
      </c>
      <c r="U21" s="10" t="s">
        <v>59</v>
      </c>
    </row>
    <row r="22" spans="1:21" x14ac:dyDescent="0.25">
      <c r="A22" s="1" t="s">
        <v>74</v>
      </c>
      <c r="B22" s="10">
        <v>661</v>
      </c>
      <c r="C22" s="10">
        <v>9226</v>
      </c>
      <c r="D22" s="19">
        <f t="shared" si="0"/>
        <v>44</v>
      </c>
      <c r="E22" s="10">
        <v>2</v>
      </c>
      <c r="F22" s="10">
        <v>2</v>
      </c>
      <c r="G22" s="10">
        <v>2</v>
      </c>
      <c r="H22" s="10">
        <v>2</v>
      </c>
      <c r="I22" s="10">
        <v>2</v>
      </c>
      <c r="J22" s="10">
        <v>2</v>
      </c>
      <c r="K22" s="10">
        <v>4</v>
      </c>
      <c r="L22" s="10">
        <v>4</v>
      </c>
      <c r="M22" s="10">
        <v>4</v>
      </c>
      <c r="N22" s="10">
        <v>4</v>
      </c>
      <c r="O22" s="10">
        <v>4</v>
      </c>
      <c r="P22" s="10">
        <v>4</v>
      </c>
      <c r="Q22" s="10">
        <v>4</v>
      </c>
      <c r="R22" s="10">
        <v>4</v>
      </c>
      <c r="S22" s="13">
        <v>46001</v>
      </c>
      <c r="T22" s="10" t="s">
        <v>80</v>
      </c>
      <c r="U22" s="10" t="s">
        <v>23</v>
      </c>
    </row>
    <row r="23" spans="1:21" x14ac:dyDescent="0.25">
      <c r="A23" s="1" t="s">
        <v>74</v>
      </c>
      <c r="B23" s="10">
        <v>662</v>
      </c>
      <c r="C23" s="10">
        <v>9218</v>
      </c>
      <c r="D23" s="19">
        <f t="shared" si="0"/>
        <v>44</v>
      </c>
      <c r="E23" s="10">
        <v>2</v>
      </c>
      <c r="F23" s="10">
        <v>2</v>
      </c>
      <c r="G23" s="10">
        <v>2</v>
      </c>
      <c r="H23" s="10">
        <v>2</v>
      </c>
      <c r="I23" s="10">
        <v>2</v>
      </c>
      <c r="J23" s="10">
        <v>2</v>
      </c>
      <c r="K23" s="10">
        <v>4</v>
      </c>
      <c r="L23" s="10">
        <v>4</v>
      </c>
      <c r="M23" s="10">
        <v>4</v>
      </c>
      <c r="N23" s="10">
        <v>4</v>
      </c>
      <c r="O23" s="10">
        <v>4</v>
      </c>
      <c r="P23" s="10">
        <v>4</v>
      </c>
      <c r="Q23" s="10">
        <v>4</v>
      </c>
      <c r="R23" s="10">
        <v>4</v>
      </c>
      <c r="S23" s="13">
        <v>46001</v>
      </c>
      <c r="T23" s="10" t="s">
        <v>53</v>
      </c>
      <c r="U23" s="10" t="s">
        <v>53</v>
      </c>
    </row>
    <row r="24" spans="1:21" x14ac:dyDescent="0.25">
      <c r="A24" s="1" t="s">
        <v>74</v>
      </c>
      <c r="B24" s="10">
        <v>663</v>
      </c>
      <c r="C24" s="10">
        <v>9232</v>
      </c>
      <c r="D24" s="19">
        <f t="shared" si="0"/>
        <v>44</v>
      </c>
      <c r="E24" s="10">
        <v>2</v>
      </c>
      <c r="F24" s="10">
        <v>2</v>
      </c>
      <c r="G24" s="10">
        <v>2</v>
      </c>
      <c r="H24" s="10">
        <v>2</v>
      </c>
      <c r="I24" s="10">
        <v>2</v>
      </c>
      <c r="J24" s="10">
        <v>2</v>
      </c>
      <c r="K24" s="10">
        <v>4</v>
      </c>
      <c r="L24" s="10">
        <v>4</v>
      </c>
      <c r="M24" s="10">
        <v>4</v>
      </c>
      <c r="N24" s="10">
        <v>4</v>
      </c>
      <c r="O24" s="10">
        <v>4</v>
      </c>
      <c r="P24" s="10">
        <v>4</v>
      </c>
      <c r="Q24" s="10">
        <v>4</v>
      </c>
      <c r="R24" s="10">
        <v>4</v>
      </c>
      <c r="S24" s="13">
        <v>46001</v>
      </c>
      <c r="T24" s="10" t="s">
        <v>25</v>
      </c>
      <c r="U24" s="10" t="s">
        <v>25</v>
      </c>
    </row>
    <row r="25" spans="1:21" x14ac:dyDescent="0.25">
      <c r="A25" s="1" t="s">
        <v>74</v>
      </c>
      <c r="B25" s="10">
        <v>664</v>
      </c>
      <c r="C25" s="10">
        <v>9238</v>
      </c>
      <c r="D25" s="19">
        <f t="shared" si="0"/>
        <v>44</v>
      </c>
      <c r="E25" s="10">
        <v>2</v>
      </c>
      <c r="F25" s="10">
        <v>2</v>
      </c>
      <c r="G25" s="10">
        <v>2</v>
      </c>
      <c r="H25" s="10">
        <v>2</v>
      </c>
      <c r="I25" s="10">
        <v>2</v>
      </c>
      <c r="J25" s="10">
        <v>2</v>
      </c>
      <c r="K25" s="10">
        <v>4</v>
      </c>
      <c r="L25" s="10">
        <v>4</v>
      </c>
      <c r="M25" s="10">
        <v>4</v>
      </c>
      <c r="N25" s="10">
        <v>4</v>
      </c>
      <c r="O25" s="10">
        <v>4</v>
      </c>
      <c r="P25" s="10">
        <v>4</v>
      </c>
      <c r="Q25" s="10">
        <v>4</v>
      </c>
      <c r="R25" s="10">
        <v>4</v>
      </c>
      <c r="S25" s="13">
        <v>46001</v>
      </c>
      <c r="T25" s="10" t="s">
        <v>25</v>
      </c>
      <c r="U25" s="10" t="s">
        <v>25</v>
      </c>
    </row>
    <row r="26" spans="1:21" x14ac:dyDescent="0.25">
      <c r="A26" s="1" t="s">
        <v>76</v>
      </c>
      <c r="B26" s="10">
        <v>665</v>
      </c>
      <c r="C26" s="10">
        <v>9227</v>
      </c>
      <c r="D26" s="19">
        <f t="shared" si="0"/>
        <v>48</v>
      </c>
      <c r="E26" s="10">
        <v>4</v>
      </c>
      <c r="F26" s="10">
        <v>4</v>
      </c>
      <c r="G26" s="10">
        <v>4</v>
      </c>
      <c r="H26" s="10">
        <v>4</v>
      </c>
      <c r="I26" s="10">
        <v>4</v>
      </c>
      <c r="J26" s="10">
        <v>4</v>
      </c>
      <c r="K26" s="10">
        <v>4</v>
      </c>
      <c r="L26" s="10">
        <v>2</v>
      </c>
      <c r="M26" s="10">
        <v>4</v>
      </c>
      <c r="N26" s="10">
        <v>2</v>
      </c>
      <c r="O26" s="10">
        <v>4</v>
      </c>
      <c r="P26" s="10">
        <v>2</v>
      </c>
      <c r="Q26" s="10">
        <v>4</v>
      </c>
      <c r="R26" s="10">
        <v>2</v>
      </c>
      <c r="S26" s="13">
        <v>46001</v>
      </c>
      <c r="T26" s="10" t="s">
        <v>59</v>
      </c>
      <c r="U26" s="10"/>
    </row>
    <row r="27" spans="1:21" x14ac:dyDescent="0.25">
      <c r="A27" s="1" t="s">
        <v>45</v>
      </c>
      <c r="B27" s="10">
        <v>666</v>
      </c>
      <c r="C27" s="10">
        <v>9202</v>
      </c>
      <c r="D27" s="19">
        <f t="shared" si="0"/>
        <v>48</v>
      </c>
      <c r="E27" s="10">
        <v>4</v>
      </c>
      <c r="F27" s="10">
        <v>4</v>
      </c>
      <c r="G27" s="10">
        <v>4</v>
      </c>
      <c r="H27" s="10">
        <v>4</v>
      </c>
      <c r="I27" s="10">
        <v>4</v>
      </c>
      <c r="J27" s="10">
        <v>4</v>
      </c>
      <c r="K27" s="10">
        <v>4</v>
      </c>
      <c r="L27" s="10">
        <v>2</v>
      </c>
      <c r="M27" s="10">
        <v>4</v>
      </c>
      <c r="N27" s="10">
        <v>2</v>
      </c>
      <c r="O27" s="10">
        <v>4</v>
      </c>
      <c r="P27" s="10">
        <v>2</v>
      </c>
      <c r="Q27" s="10">
        <v>4</v>
      </c>
      <c r="R27" s="10">
        <v>2</v>
      </c>
      <c r="S27" s="13">
        <v>46001</v>
      </c>
      <c r="T27" s="10"/>
      <c r="U27" s="10" t="s">
        <v>53</v>
      </c>
    </row>
    <row r="28" spans="1:21" x14ac:dyDescent="0.25">
      <c r="A28" s="1" t="s">
        <v>45</v>
      </c>
      <c r="B28" s="10">
        <v>667</v>
      </c>
      <c r="C28" s="10">
        <v>9202</v>
      </c>
      <c r="D28" s="19">
        <f t="shared" si="0"/>
        <v>48</v>
      </c>
      <c r="E28" s="10">
        <v>4</v>
      </c>
      <c r="F28" s="10">
        <v>4</v>
      </c>
      <c r="G28" s="10">
        <v>4</v>
      </c>
      <c r="H28" s="10">
        <v>4</v>
      </c>
      <c r="I28" s="10">
        <v>4</v>
      </c>
      <c r="J28" s="10">
        <v>4</v>
      </c>
      <c r="K28" s="10">
        <v>4</v>
      </c>
      <c r="L28" s="10">
        <v>2</v>
      </c>
      <c r="M28" s="10">
        <v>4</v>
      </c>
      <c r="N28" s="10">
        <v>2</v>
      </c>
      <c r="O28" s="10">
        <v>4</v>
      </c>
      <c r="P28" s="10">
        <v>2</v>
      </c>
      <c r="Q28" s="10">
        <v>4</v>
      </c>
      <c r="R28" s="10">
        <v>2</v>
      </c>
      <c r="S28" s="13">
        <v>46001</v>
      </c>
      <c r="T28" s="10"/>
      <c r="U28" s="10" t="s">
        <v>53</v>
      </c>
    </row>
    <row r="29" spans="1:21" x14ac:dyDescent="0.25">
      <c r="A29" s="1" t="s">
        <v>45</v>
      </c>
      <c r="B29" s="10">
        <v>668</v>
      </c>
      <c r="C29" s="10">
        <v>9202</v>
      </c>
      <c r="D29" s="19">
        <f t="shared" si="0"/>
        <v>48</v>
      </c>
      <c r="E29" s="10">
        <v>4</v>
      </c>
      <c r="F29" s="10">
        <v>4</v>
      </c>
      <c r="G29" s="10">
        <v>4</v>
      </c>
      <c r="H29" s="10">
        <v>4</v>
      </c>
      <c r="I29" s="10">
        <v>4</v>
      </c>
      <c r="J29" s="10">
        <v>4</v>
      </c>
      <c r="K29" s="10">
        <v>4</v>
      </c>
      <c r="L29" s="10">
        <v>2</v>
      </c>
      <c r="M29" s="10">
        <v>4</v>
      </c>
      <c r="N29" s="10">
        <v>2</v>
      </c>
      <c r="O29" s="10">
        <v>4</v>
      </c>
      <c r="P29" s="10">
        <v>2</v>
      </c>
      <c r="Q29" s="10">
        <v>4</v>
      </c>
      <c r="R29" s="10">
        <v>2</v>
      </c>
      <c r="S29" s="13">
        <v>46001</v>
      </c>
      <c r="T29" s="10"/>
      <c r="U29" s="10" t="s">
        <v>53</v>
      </c>
    </row>
    <row r="30" spans="1:21" x14ac:dyDescent="0.25">
      <c r="A30" s="1" t="s">
        <v>77</v>
      </c>
      <c r="B30" s="10">
        <v>669</v>
      </c>
      <c r="C30" s="10" t="s">
        <v>30</v>
      </c>
      <c r="D30" s="19">
        <f t="shared" si="0"/>
        <v>24</v>
      </c>
      <c r="E30" s="10">
        <v>2</v>
      </c>
      <c r="F30" s="10">
        <v>2</v>
      </c>
      <c r="G30" s="10">
        <v>2</v>
      </c>
      <c r="H30" s="10">
        <v>2</v>
      </c>
      <c r="I30" s="10">
        <v>2</v>
      </c>
      <c r="J30" s="10">
        <v>2</v>
      </c>
      <c r="K30" s="10">
        <v>2</v>
      </c>
      <c r="L30" s="10">
        <v>1</v>
      </c>
      <c r="M30" s="10">
        <v>2</v>
      </c>
      <c r="N30" s="10">
        <v>1</v>
      </c>
      <c r="O30" s="10">
        <v>2</v>
      </c>
      <c r="P30" s="10">
        <v>1</v>
      </c>
      <c r="Q30" s="10">
        <v>2</v>
      </c>
      <c r="R30" s="10">
        <v>1</v>
      </c>
      <c r="S30" s="13">
        <v>46001</v>
      </c>
      <c r="T30" s="10" t="s">
        <v>53</v>
      </c>
      <c r="U30" s="10"/>
    </row>
    <row r="31" spans="1:21" x14ac:dyDescent="0.25">
      <c r="A31" s="1" t="s">
        <v>77</v>
      </c>
      <c r="B31" s="10">
        <v>670</v>
      </c>
      <c r="C31" s="10">
        <v>9201</v>
      </c>
      <c r="D31" s="19">
        <f t="shared" si="0"/>
        <v>24</v>
      </c>
      <c r="E31" s="10">
        <v>2</v>
      </c>
      <c r="F31" s="10">
        <v>2</v>
      </c>
      <c r="G31" s="10">
        <v>2</v>
      </c>
      <c r="H31" s="10">
        <v>2</v>
      </c>
      <c r="I31" s="10">
        <v>2</v>
      </c>
      <c r="J31" s="10">
        <v>2</v>
      </c>
      <c r="K31" s="10">
        <v>2</v>
      </c>
      <c r="L31" s="10">
        <v>1</v>
      </c>
      <c r="M31" s="10">
        <v>2</v>
      </c>
      <c r="N31" s="10">
        <v>1</v>
      </c>
      <c r="O31" s="10">
        <v>2</v>
      </c>
      <c r="P31" s="10">
        <v>1</v>
      </c>
      <c r="Q31" s="10">
        <v>2</v>
      </c>
      <c r="R31" s="10">
        <v>1</v>
      </c>
      <c r="S31" s="13">
        <v>46001</v>
      </c>
      <c r="T31" s="10" t="s">
        <v>53</v>
      </c>
      <c r="U31" s="10" t="s">
        <v>53</v>
      </c>
    </row>
    <row r="32" spans="1:21" x14ac:dyDescent="0.25">
      <c r="A32" s="1" t="s">
        <v>77</v>
      </c>
      <c r="B32" s="10">
        <v>671</v>
      </c>
      <c r="C32" s="10">
        <v>9214</v>
      </c>
      <c r="D32" s="19">
        <f t="shared" si="0"/>
        <v>24</v>
      </c>
      <c r="E32" s="10">
        <v>2</v>
      </c>
      <c r="F32" s="10">
        <v>2</v>
      </c>
      <c r="G32" s="10">
        <v>2</v>
      </c>
      <c r="H32" s="10">
        <v>2</v>
      </c>
      <c r="I32" s="10">
        <v>2</v>
      </c>
      <c r="J32" s="10">
        <v>2</v>
      </c>
      <c r="K32" s="10">
        <v>2</v>
      </c>
      <c r="L32" s="10">
        <v>1</v>
      </c>
      <c r="M32" s="10">
        <v>2</v>
      </c>
      <c r="N32" s="10">
        <v>1</v>
      </c>
      <c r="O32" s="10">
        <v>2</v>
      </c>
      <c r="P32" s="10">
        <v>1</v>
      </c>
      <c r="Q32" s="10">
        <v>2</v>
      </c>
      <c r="R32" s="10">
        <v>1</v>
      </c>
      <c r="S32" s="13">
        <v>46001</v>
      </c>
      <c r="T32" s="10" t="s">
        <v>53</v>
      </c>
      <c r="U32" s="10" t="s">
        <v>53</v>
      </c>
    </row>
    <row r="33" spans="1:21" x14ac:dyDescent="0.25">
      <c r="A33" s="1" t="s">
        <v>78</v>
      </c>
      <c r="B33" s="10">
        <v>672</v>
      </c>
      <c r="C33" s="10">
        <v>9210</v>
      </c>
      <c r="D33" s="19">
        <f t="shared" si="0"/>
        <v>14</v>
      </c>
      <c r="E33" s="10">
        <v>1</v>
      </c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  <c r="R33" s="10">
        <v>1</v>
      </c>
      <c r="S33" s="13">
        <v>46002</v>
      </c>
      <c r="T33" s="10" t="s">
        <v>25</v>
      </c>
      <c r="U33" s="10" t="s">
        <v>25</v>
      </c>
    </row>
    <row r="34" spans="1:21" x14ac:dyDescent="0.25">
      <c r="A34" s="1" t="s">
        <v>78</v>
      </c>
      <c r="B34" s="10">
        <v>673</v>
      </c>
      <c r="C34" s="10">
        <v>9210</v>
      </c>
      <c r="D34" s="19">
        <f t="shared" si="0"/>
        <v>14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3">
        <v>46002</v>
      </c>
      <c r="T34" s="10" t="s">
        <v>25</v>
      </c>
      <c r="U34" s="10" t="s">
        <v>25</v>
      </c>
    </row>
    <row r="35" spans="1:21" x14ac:dyDescent="0.25">
      <c r="A35" s="1" t="s">
        <v>78</v>
      </c>
      <c r="B35" s="10">
        <v>674</v>
      </c>
      <c r="C35" s="10">
        <v>9208</v>
      </c>
      <c r="D35" s="19">
        <f t="shared" si="0"/>
        <v>14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3">
        <v>46002</v>
      </c>
      <c r="T35" s="10" t="s">
        <v>59</v>
      </c>
      <c r="U35" s="10" t="s">
        <v>59</v>
      </c>
    </row>
    <row r="36" spans="1:21" x14ac:dyDescent="0.25">
      <c r="A36" s="1" t="s">
        <v>78</v>
      </c>
      <c r="B36" s="10">
        <v>675</v>
      </c>
      <c r="C36" s="10">
        <v>9208</v>
      </c>
      <c r="D36" s="19">
        <f t="shared" si="0"/>
        <v>14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3">
        <v>46002</v>
      </c>
      <c r="T36" s="10" t="s">
        <v>59</v>
      </c>
      <c r="U36" s="10" t="s">
        <v>59</v>
      </c>
    </row>
    <row r="37" spans="1:21" x14ac:dyDescent="0.25">
      <c r="A37" s="1" t="s">
        <v>78</v>
      </c>
      <c r="B37" s="10">
        <v>676</v>
      </c>
      <c r="C37" s="10">
        <v>9205</v>
      </c>
      <c r="D37" s="19">
        <f t="shared" si="0"/>
        <v>14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</v>
      </c>
      <c r="R37" s="10">
        <v>1</v>
      </c>
      <c r="S37" s="13">
        <v>46002</v>
      </c>
      <c r="T37" s="10" t="s">
        <v>59</v>
      </c>
      <c r="U37" s="10" t="s">
        <v>59</v>
      </c>
    </row>
    <row r="38" spans="1:21" x14ac:dyDescent="0.25">
      <c r="A38" s="1" t="s">
        <v>78</v>
      </c>
      <c r="B38" s="10">
        <v>677</v>
      </c>
      <c r="C38" s="10">
        <v>9205</v>
      </c>
      <c r="D38" s="19">
        <f t="shared" si="0"/>
        <v>14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  <c r="K38" s="10">
        <v>1</v>
      </c>
      <c r="L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1</v>
      </c>
      <c r="S38" s="13">
        <v>46002</v>
      </c>
      <c r="T38" s="10" t="s">
        <v>59</v>
      </c>
      <c r="U38" s="10" t="s">
        <v>59</v>
      </c>
    </row>
    <row r="39" spans="1:21" x14ac:dyDescent="0.25">
      <c r="A39" s="1" t="s">
        <v>78</v>
      </c>
      <c r="B39" s="10">
        <v>678</v>
      </c>
      <c r="C39" s="10">
        <v>9201</v>
      </c>
      <c r="D39" s="19">
        <f t="shared" si="0"/>
        <v>14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1</v>
      </c>
      <c r="S39" s="13">
        <v>46002</v>
      </c>
      <c r="T39" s="10" t="s">
        <v>59</v>
      </c>
      <c r="U39" s="10" t="s">
        <v>59</v>
      </c>
    </row>
    <row r="40" spans="1:21" x14ac:dyDescent="0.25">
      <c r="A40" s="1" t="s">
        <v>78</v>
      </c>
      <c r="B40" s="10">
        <v>679</v>
      </c>
      <c r="C40" s="10">
        <v>9211</v>
      </c>
      <c r="D40" s="19">
        <f t="shared" si="0"/>
        <v>14</v>
      </c>
      <c r="E40" s="10">
        <v>1</v>
      </c>
      <c r="F40" s="10">
        <v>1</v>
      </c>
      <c r="G40" s="10">
        <v>1</v>
      </c>
      <c r="H40" s="10">
        <v>1</v>
      </c>
      <c r="I40" s="10">
        <v>1</v>
      </c>
      <c r="J40" s="10">
        <v>1</v>
      </c>
      <c r="K40" s="10">
        <v>1</v>
      </c>
      <c r="L40" s="10">
        <v>1</v>
      </c>
      <c r="M40" s="10">
        <v>1</v>
      </c>
      <c r="N40" s="10">
        <v>1</v>
      </c>
      <c r="O40" s="10">
        <v>1</v>
      </c>
      <c r="P40" s="10">
        <v>1</v>
      </c>
      <c r="Q40" s="10">
        <v>1</v>
      </c>
      <c r="R40" s="10">
        <v>1</v>
      </c>
      <c r="S40" s="13">
        <v>46002</v>
      </c>
      <c r="T40" s="10"/>
      <c r="U40" s="10" t="s">
        <v>25</v>
      </c>
    </row>
    <row r="41" spans="1:21" x14ac:dyDescent="0.25">
      <c r="A41" s="1" t="s">
        <v>78</v>
      </c>
      <c r="B41" s="10">
        <v>680</v>
      </c>
      <c r="C41" s="10">
        <v>9211</v>
      </c>
      <c r="D41" s="19">
        <f t="shared" si="0"/>
        <v>14</v>
      </c>
      <c r="E41" s="10">
        <v>1</v>
      </c>
      <c r="F41" s="10">
        <v>1</v>
      </c>
      <c r="G41" s="10">
        <v>1</v>
      </c>
      <c r="H41" s="10">
        <v>1</v>
      </c>
      <c r="I41" s="10">
        <v>1</v>
      </c>
      <c r="J41" s="10">
        <v>1</v>
      </c>
      <c r="K41" s="10">
        <v>1</v>
      </c>
      <c r="L41" s="10">
        <v>1</v>
      </c>
      <c r="M41" s="10">
        <v>1</v>
      </c>
      <c r="N41" s="10">
        <v>1</v>
      </c>
      <c r="O41" s="10">
        <v>1</v>
      </c>
      <c r="P41" s="10">
        <v>1</v>
      </c>
      <c r="Q41" s="10">
        <v>1</v>
      </c>
      <c r="R41" s="10">
        <v>1</v>
      </c>
      <c r="S41" s="13">
        <v>46002</v>
      </c>
      <c r="T41" s="10" t="s">
        <v>59</v>
      </c>
      <c r="U41" s="10" t="s">
        <v>59</v>
      </c>
    </row>
    <row r="42" spans="1:21" x14ac:dyDescent="0.25">
      <c r="A42" s="1" t="s">
        <v>78</v>
      </c>
      <c r="B42" s="10">
        <v>681</v>
      </c>
      <c r="C42" s="10">
        <v>9240</v>
      </c>
      <c r="D42" s="19">
        <f t="shared" si="0"/>
        <v>14</v>
      </c>
      <c r="E42" s="10">
        <v>1</v>
      </c>
      <c r="F42" s="10">
        <v>1</v>
      </c>
      <c r="G42" s="10">
        <v>1</v>
      </c>
      <c r="H42" s="10">
        <v>1</v>
      </c>
      <c r="I42" s="10">
        <v>1</v>
      </c>
      <c r="J42" s="10">
        <v>1</v>
      </c>
      <c r="K42" s="10">
        <v>1</v>
      </c>
      <c r="L42" s="10">
        <v>1</v>
      </c>
      <c r="M42" s="10">
        <v>1</v>
      </c>
      <c r="N42" s="10">
        <v>1</v>
      </c>
      <c r="O42" s="10">
        <v>1</v>
      </c>
      <c r="P42" s="10">
        <v>1</v>
      </c>
      <c r="Q42" s="10">
        <v>1</v>
      </c>
      <c r="R42" s="10">
        <v>1</v>
      </c>
      <c r="S42" s="13">
        <v>46002</v>
      </c>
      <c r="T42" s="10" t="s">
        <v>25</v>
      </c>
      <c r="U42" s="10" t="s">
        <v>25</v>
      </c>
    </row>
    <row r="43" spans="1:21" x14ac:dyDescent="0.25">
      <c r="A43" s="1" t="s">
        <v>28</v>
      </c>
      <c r="B43" s="10">
        <v>682</v>
      </c>
      <c r="C43" s="10">
        <v>9234</v>
      </c>
      <c r="D43" s="19">
        <f t="shared" si="0"/>
        <v>24</v>
      </c>
      <c r="E43" s="10">
        <v>2</v>
      </c>
      <c r="F43" s="10">
        <v>2</v>
      </c>
      <c r="G43" s="10">
        <v>2</v>
      </c>
      <c r="H43" s="10">
        <v>2</v>
      </c>
      <c r="I43" s="10">
        <v>2</v>
      </c>
      <c r="J43" s="10">
        <v>2</v>
      </c>
      <c r="K43" s="10">
        <v>2</v>
      </c>
      <c r="L43" s="10">
        <v>1</v>
      </c>
      <c r="M43" s="10">
        <v>2</v>
      </c>
      <c r="N43" s="10">
        <v>1</v>
      </c>
      <c r="O43" s="10">
        <v>2</v>
      </c>
      <c r="P43" s="10">
        <v>1</v>
      </c>
      <c r="Q43" s="10">
        <v>2</v>
      </c>
      <c r="R43" s="10">
        <v>1</v>
      </c>
      <c r="S43" s="13">
        <v>46002</v>
      </c>
      <c r="T43" s="10"/>
      <c r="U43" s="10"/>
    </row>
    <row r="44" spans="1:21" x14ac:dyDescent="0.25">
      <c r="A44" s="1" t="s">
        <v>28</v>
      </c>
      <c r="B44" s="10">
        <v>683</v>
      </c>
      <c r="C44" s="10">
        <v>9234</v>
      </c>
      <c r="D44" s="19">
        <f t="shared" si="0"/>
        <v>24</v>
      </c>
      <c r="E44" s="10">
        <v>2</v>
      </c>
      <c r="F44" s="10">
        <v>2</v>
      </c>
      <c r="G44" s="10">
        <v>2</v>
      </c>
      <c r="H44" s="10">
        <v>2</v>
      </c>
      <c r="I44" s="10">
        <v>2</v>
      </c>
      <c r="J44" s="10">
        <v>2</v>
      </c>
      <c r="K44" s="10">
        <v>2</v>
      </c>
      <c r="L44" s="10">
        <v>1</v>
      </c>
      <c r="M44" s="10">
        <v>2</v>
      </c>
      <c r="N44" s="10">
        <v>1</v>
      </c>
      <c r="O44" s="10">
        <v>2</v>
      </c>
      <c r="P44" s="10">
        <v>1</v>
      </c>
      <c r="Q44" s="10">
        <v>2</v>
      </c>
      <c r="R44" s="10">
        <v>1</v>
      </c>
      <c r="S44" s="13">
        <v>46002</v>
      </c>
      <c r="T44" s="10"/>
      <c r="U44" s="10"/>
    </row>
    <row r="45" spans="1:21" x14ac:dyDescent="0.25">
      <c r="A45" s="1" t="s">
        <v>28</v>
      </c>
      <c r="B45" s="10">
        <v>684</v>
      </c>
      <c r="C45" s="10">
        <v>9248</v>
      </c>
      <c r="D45" s="19">
        <f t="shared" si="0"/>
        <v>24</v>
      </c>
      <c r="E45" s="10">
        <v>2</v>
      </c>
      <c r="F45" s="10">
        <v>2</v>
      </c>
      <c r="G45" s="10">
        <v>2</v>
      </c>
      <c r="H45" s="10">
        <v>2</v>
      </c>
      <c r="I45" s="10">
        <v>2</v>
      </c>
      <c r="J45" s="10">
        <v>2</v>
      </c>
      <c r="K45" s="10">
        <v>2</v>
      </c>
      <c r="L45" s="10">
        <v>1</v>
      </c>
      <c r="M45" s="10">
        <v>2</v>
      </c>
      <c r="N45" s="10">
        <v>1</v>
      </c>
      <c r="O45" s="10">
        <v>2</v>
      </c>
      <c r="P45" s="10">
        <v>1</v>
      </c>
      <c r="Q45" s="10">
        <v>2</v>
      </c>
      <c r="R45" s="10">
        <v>1</v>
      </c>
      <c r="S45" s="13">
        <v>46002</v>
      </c>
      <c r="T45" s="10"/>
      <c r="U45" s="10"/>
    </row>
    <row r="46" spans="1:21" x14ac:dyDescent="0.25">
      <c r="A46" s="1" t="s">
        <v>28</v>
      </c>
      <c r="B46" s="10">
        <v>685</v>
      </c>
      <c r="C46" s="10">
        <v>9232</v>
      </c>
      <c r="D46" s="19">
        <f t="shared" si="0"/>
        <v>24</v>
      </c>
      <c r="E46" s="10">
        <v>2</v>
      </c>
      <c r="F46" s="10">
        <v>2</v>
      </c>
      <c r="G46" s="10">
        <v>2</v>
      </c>
      <c r="H46" s="10">
        <v>2</v>
      </c>
      <c r="I46" s="10">
        <v>2</v>
      </c>
      <c r="J46" s="10">
        <v>2</v>
      </c>
      <c r="K46" s="10">
        <v>2</v>
      </c>
      <c r="L46" s="10">
        <v>1</v>
      </c>
      <c r="M46" s="10">
        <v>2</v>
      </c>
      <c r="N46" s="10">
        <v>1</v>
      </c>
      <c r="O46" s="10">
        <v>2</v>
      </c>
      <c r="P46" s="10">
        <v>1</v>
      </c>
      <c r="Q46" s="10">
        <v>2</v>
      </c>
      <c r="R46" s="10">
        <v>1</v>
      </c>
      <c r="S46" s="13">
        <v>46002</v>
      </c>
      <c r="T46" s="10" t="s">
        <v>59</v>
      </c>
      <c r="U46" s="10" t="s">
        <v>59</v>
      </c>
    </row>
    <row r="47" spans="1:21" x14ac:dyDescent="0.25">
      <c r="A47" s="1" t="s">
        <v>28</v>
      </c>
      <c r="B47" s="10">
        <v>686</v>
      </c>
      <c r="C47" s="10">
        <v>9232</v>
      </c>
      <c r="D47" s="19">
        <f t="shared" si="0"/>
        <v>24</v>
      </c>
      <c r="E47" s="10">
        <v>2</v>
      </c>
      <c r="F47" s="10">
        <v>2</v>
      </c>
      <c r="G47" s="10">
        <v>2</v>
      </c>
      <c r="H47" s="10">
        <v>2</v>
      </c>
      <c r="I47" s="10">
        <v>2</v>
      </c>
      <c r="J47" s="10">
        <v>2</v>
      </c>
      <c r="K47" s="10">
        <v>2</v>
      </c>
      <c r="L47" s="10">
        <v>1</v>
      </c>
      <c r="M47" s="10">
        <v>2</v>
      </c>
      <c r="N47" s="10">
        <v>1</v>
      </c>
      <c r="O47" s="10">
        <v>2</v>
      </c>
      <c r="P47" s="10">
        <v>1</v>
      </c>
      <c r="Q47" s="10">
        <v>2</v>
      </c>
      <c r="R47" s="10">
        <v>1</v>
      </c>
      <c r="S47" s="13">
        <v>46002</v>
      </c>
      <c r="T47" s="10" t="s">
        <v>25</v>
      </c>
      <c r="U47" s="10" t="s">
        <v>25</v>
      </c>
    </row>
    <row r="48" spans="1:21" x14ac:dyDescent="0.25">
      <c r="A48" s="1" t="s">
        <v>28</v>
      </c>
      <c r="B48" s="10">
        <v>687</v>
      </c>
      <c r="C48" s="10">
        <v>9245</v>
      </c>
      <c r="D48" s="19">
        <f t="shared" si="0"/>
        <v>24</v>
      </c>
      <c r="E48" s="10">
        <v>2</v>
      </c>
      <c r="F48" s="10">
        <v>2</v>
      </c>
      <c r="G48" s="10">
        <v>2</v>
      </c>
      <c r="H48" s="10">
        <v>2</v>
      </c>
      <c r="I48" s="10">
        <v>2</v>
      </c>
      <c r="J48" s="10">
        <v>2</v>
      </c>
      <c r="K48" s="10">
        <v>2</v>
      </c>
      <c r="L48" s="10">
        <v>1</v>
      </c>
      <c r="M48" s="10">
        <v>2</v>
      </c>
      <c r="N48" s="10">
        <v>1</v>
      </c>
      <c r="O48" s="10">
        <v>2</v>
      </c>
      <c r="P48" s="10">
        <v>1</v>
      </c>
      <c r="Q48" s="10">
        <v>2</v>
      </c>
      <c r="R48" s="10">
        <v>1</v>
      </c>
      <c r="S48" s="13">
        <v>46002</v>
      </c>
      <c r="T48" s="10" t="s">
        <v>25</v>
      </c>
      <c r="U48" s="10" t="s">
        <v>25</v>
      </c>
    </row>
    <row r="49" spans="1:21" x14ac:dyDescent="0.25">
      <c r="A49" s="1" t="s">
        <v>28</v>
      </c>
      <c r="B49" s="10">
        <v>688</v>
      </c>
      <c r="C49" s="10">
        <v>9242</v>
      </c>
      <c r="D49" s="19">
        <f t="shared" si="0"/>
        <v>24</v>
      </c>
      <c r="E49" s="10">
        <v>2</v>
      </c>
      <c r="F49" s="10">
        <v>2</v>
      </c>
      <c r="G49" s="10">
        <v>2</v>
      </c>
      <c r="H49" s="10">
        <v>2</v>
      </c>
      <c r="I49" s="10">
        <v>2</v>
      </c>
      <c r="J49" s="10">
        <v>2</v>
      </c>
      <c r="K49" s="10">
        <v>2</v>
      </c>
      <c r="L49" s="10">
        <v>1</v>
      </c>
      <c r="M49" s="10">
        <v>2</v>
      </c>
      <c r="N49" s="10">
        <v>1</v>
      </c>
      <c r="O49" s="10">
        <v>2</v>
      </c>
      <c r="P49" s="10">
        <v>1</v>
      </c>
      <c r="Q49" s="10">
        <v>2</v>
      </c>
      <c r="R49" s="10">
        <v>1</v>
      </c>
      <c r="S49" s="13">
        <v>46002</v>
      </c>
      <c r="T49" s="10" t="s">
        <v>25</v>
      </c>
      <c r="U49" s="10" t="s">
        <v>25</v>
      </c>
    </row>
    <row r="50" spans="1:21" x14ac:dyDescent="0.25">
      <c r="A50" s="1" t="s">
        <v>28</v>
      </c>
      <c r="B50" s="10">
        <v>689</v>
      </c>
      <c r="C50" s="10">
        <v>9267</v>
      </c>
      <c r="D50" s="19">
        <f t="shared" si="0"/>
        <v>24</v>
      </c>
      <c r="E50" s="10">
        <v>2</v>
      </c>
      <c r="F50" s="10">
        <v>2</v>
      </c>
      <c r="G50" s="10">
        <v>2</v>
      </c>
      <c r="H50" s="10">
        <v>2</v>
      </c>
      <c r="I50" s="10">
        <v>2</v>
      </c>
      <c r="J50" s="10">
        <v>2</v>
      </c>
      <c r="K50" s="10">
        <v>2</v>
      </c>
      <c r="L50" s="10">
        <v>1</v>
      </c>
      <c r="M50" s="10">
        <v>2</v>
      </c>
      <c r="N50" s="10">
        <v>1</v>
      </c>
      <c r="O50" s="10">
        <v>2</v>
      </c>
      <c r="P50" s="10">
        <v>1</v>
      </c>
      <c r="Q50" s="10">
        <v>2</v>
      </c>
      <c r="R50" s="10">
        <v>1</v>
      </c>
      <c r="S50" s="13">
        <v>46002</v>
      </c>
      <c r="T50" s="10" t="s">
        <v>59</v>
      </c>
      <c r="U50" s="10" t="s">
        <v>59</v>
      </c>
    </row>
    <row r="51" spans="1:21" x14ac:dyDescent="0.25">
      <c r="A51" s="1" t="s">
        <v>33</v>
      </c>
      <c r="B51" s="10">
        <v>690</v>
      </c>
      <c r="C51" s="10">
        <v>9232</v>
      </c>
      <c r="D51" s="19">
        <f t="shared" si="0"/>
        <v>72</v>
      </c>
      <c r="E51" s="10">
        <v>6</v>
      </c>
      <c r="F51" s="10">
        <v>6</v>
      </c>
      <c r="G51" s="10">
        <v>6</v>
      </c>
      <c r="H51" s="10">
        <v>6</v>
      </c>
      <c r="I51" s="10">
        <v>6</v>
      </c>
      <c r="J51" s="10">
        <v>6</v>
      </c>
      <c r="K51" s="10">
        <v>6</v>
      </c>
      <c r="L51" s="10">
        <v>3</v>
      </c>
      <c r="M51" s="10">
        <v>6</v>
      </c>
      <c r="N51" s="10">
        <v>3</v>
      </c>
      <c r="O51" s="10">
        <v>6</v>
      </c>
      <c r="P51" s="10">
        <v>3</v>
      </c>
      <c r="Q51" s="10">
        <v>6</v>
      </c>
      <c r="R51" s="10">
        <v>3</v>
      </c>
      <c r="S51" s="13">
        <v>46002</v>
      </c>
      <c r="T51" s="10" t="s">
        <v>25</v>
      </c>
      <c r="U51" s="10"/>
    </row>
    <row r="52" spans="1:21" x14ac:dyDescent="0.25">
      <c r="A52" s="1" t="s">
        <v>33</v>
      </c>
      <c r="B52" s="10">
        <v>691</v>
      </c>
      <c r="C52" s="10">
        <v>9205</v>
      </c>
      <c r="D52" s="19">
        <f t="shared" si="0"/>
        <v>72</v>
      </c>
      <c r="E52" s="10">
        <v>6</v>
      </c>
      <c r="F52" s="10">
        <v>6</v>
      </c>
      <c r="G52" s="10">
        <v>6</v>
      </c>
      <c r="H52" s="10">
        <v>6</v>
      </c>
      <c r="I52" s="10">
        <v>6</v>
      </c>
      <c r="J52" s="10">
        <v>6</v>
      </c>
      <c r="K52" s="10">
        <v>6</v>
      </c>
      <c r="L52" s="10">
        <v>3</v>
      </c>
      <c r="M52" s="10">
        <v>6</v>
      </c>
      <c r="N52" s="10">
        <v>3</v>
      </c>
      <c r="O52" s="10">
        <v>6</v>
      </c>
      <c r="P52" s="10">
        <v>3</v>
      </c>
      <c r="Q52" s="10">
        <v>6</v>
      </c>
      <c r="R52" s="10">
        <v>3</v>
      </c>
      <c r="S52" s="13">
        <v>46002</v>
      </c>
      <c r="T52" s="10" t="s">
        <v>53</v>
      </c>
      <c r="U52" s="10" t="s">
        <v>53</v>
      </c>
    </row>
    <row r="53" spans="1:21" x14ac:dyDescent="0.25">
      <c r="A53" s="1" t="s">
        <v>33</v>
      </c>
      <c r="B53" s="10">
        <v>692</v>
      </c>
      <c r="C53" s="10">
        <v>9214</v>
      </c>
      <c r="D53" s="19">
        <f t="shared" si="0"/>
        <v>72</v>
      </c>
      <c r="E53" s="10">
        <v>6</v>
      </c>
      <c r="F53" s="10">
        <v>6</v>
      </c>
      <c r="G53" s="10">
        <v>6</v>
      </c>
      <c r="H53" s="10">
        <v>6</v>
      </c>
      <c r="I53" s="10">
        <v>6</v>
      </c>
      <c r="J53" s="10">
        <v>6</v>
      </c>
      <c r="K53" s="10">
        <v>6</v>
      </c>
      <c r="L53" s="10">
        <v>3</v>
      </c>
      <c r="M53" s="10">
        <v>6</v>
      </c>
      <c r="N53" s="10">
        <v>3</v>
      </c>
      <c r="O53" s="10">
        <v>6</v>
      </c>
      <c r="P53" s="10">
        <v>3</v>
      </c>
      <c r="Q53" s="10">
        <v>6</v>
      </c>
      <c r="R53" s="10">
        <v>3</v>
      </c>
      <c r="S53" s="13">
        <v>46002</v>
      </c>
      <c r="T53" s="10" t="s">
        <v>53</v>
      </c>
      <c r="U53" s="10" t="s">
        <v>53</v>
      </c>
    </row>
    <row r="54" spans="1:21" x14ac:dyDescent="0.25">
      <c r="A54" s="1" t="s">
        <v>33</v>
      </c>
      <c r="B54" s="10">
        <v>693</v>
      </c>
      <c r="C54" s="10">
        <v>9237</v>
      </c>
      <c r="D54" s="19">
        <f t="shared" si="0"/>
        <v>72</v>
      </c>
      <c r="E54" s="10">
        <v>6</v>
      </c>
      <c r="F54" s="10">
        <v>6</v>
      </c>
      <c r="G54" s="10">
        <v>6</v>
      </c>
      <c r="H54" s="10">
        <v>6</v>
      </c>
      <c r="I54" s="10">
        <v>6</v>
      </c>
      <c r="J54" s="10">
        <v>6</v>
      </c>
      <c r="K54" s="10">
        <v>6</v>
      </c>
      <c r="L54" s="10">
        <v>3</v>
      </c>
      <c r="M54" s="10">
        <v>6</v>
      </c>
      <c r="N54" s="10">
        <v>3</v>
      </c>
      <c r="O54" s="10">
        <v>6</v>
      </c>
      <c r="P54" s="10">
        <v>3</v>
      </c>
      <c r="Q54" s="10">
        <v>6</v>
      </c>
      <c r="R54" s="10">
        <v>3</v>
      </c>
      <c r="S54" s="13">
        <v>46002</v>
      </c>
      <c r="T54" s="10" t="s">
        <v>25</v>
      </c>
      <c r="U54" s="10" t="s">
        <v>25</v>
      </c>
    </row>
    <row r="55" spans="1:21" x14ac:dyDescent="0.25">
      <c r="A55" s="1" t="s">
        <v>33</v>
      </c>
      <c r="B55" s="10">
        <v>694</v>
      </c>
      <c r="C55" s="10">
        <v>9246</v>
      </c>
      <c r="D55" s="19">
        <f t="shared" si="0"/>
        <v>72</v>
      </c>
      <c r="E55" s="10">
        <v>6</v>
      </c>
      <c r="F55" s="10">
        <v>6</v>
      </c>
      <c r="G55" s="10">
        <v>6</v>
      </c>
      <c r="H55" s="10">
        <v>6</v>
      </c>
      <c r="I55" s="10">
        <v>6</v>
      </c>
      <c r="J55" s="10">
        <v>6</v>
      </c>
      <c r="K55" s="10">
        <v>6</v>
      </c>
      <c r="L55" s="10">
        <v>3</v>
      </c>
      <c r="M55" s="10">
        <v>6</v>
      </c>
      <c r="N55" s="10">
        <v>3</v>
      </c>
      <c r="O55" s="10">
        <v>6</v>
      </c>
      <c r="P55" s="10">
        <v>3</v>
      </c>
      <c r="Q55" s="10">
        <v>6</v>
      </c>
      <c r="R55" s="10">
        <v>3</v>
      </c>
      <c r="S55" s="13">
        <v>46002</v>
      </c>
      <c r="T55" s="10"/>
      <c r="U55" s="10"/>
    </row>
    <row r="56" spans="1:21" x14ac:dyDescent="0.25">
      <c r="A56" s="1" t="s">
        <v>33</v>
      </c>
      <c r="B56" s="10">
        <v>695</v>
      </c>
      <c r="C56" s="10">
        <v>9240</v>
      </c>
      <c r="D56" s="19">
        <f t="shared" si="0"/>
        <v>72</v>
      </c>
      <c r="E56" s="10">
        <v>6</v>
      </c>
      <c r="F56" s="10">
        <v>6</v>
      </c>
      <c r="G56" s="10">
        <v>6</v>
      </c>
      <c r="H56" s="10">
        <v>6</v>
      </c>
      <c r="I56" s="10">
        <v>6</v>
      </c>
      <c r="J56" s="10">
        <v>6</v>
      </c>
      <c r="K56" s="10">
        <v>6</v>
      </c>
      <c r="L56" s="10">
        <v>3</v>
      </c>
      <c r="M56" s="10">
        <v>6</v>
      </c>
      <c r="N56" s="10">
        <v>3</v>
      </c>
      <c r="O56" s="10">
        <v>6</v>
      </c>
      <c r="P56" s="10">
        <v>3</v>
      </c>
      <c r="Q56" s="10">
        <v>6</v>
      </c>
      <c r="R56" s="10">
        <v>3</v>
      </c>
      <c r="S56" s="13">
        <v>46002</v>
      </c>
      <c r="T56" s="10" t="s">
        <v>59</v>
      </c>
      <c r="U56" s="10" t="s">
        <v>59</v>
      </c>
    </row>
    <row r="57" spans="1:21" x14ac:dyDescent="0.25">
      <c r="A57" s="1" t="s">
        <v>79</v>
      </c>
      <c r="B57" s="10">
        <v>696</v>
      </c>
      <c r="C57" s="10">
        <v>9205</v>
      </c>
      <c r="D57" s="19">
        <f t="shared" si="0"/>
        <v>90</v>
      </c>
      <c r="E57" s="10">
        <v>11</v>
      </c>
      <c r="F57" s="10"/>
      <c r="G57" s="10">
        <v>14</v>
      </c>
      <c r="H57" s="10"/>
      <c r="I57" s="10">
        <v>15</v>
      </c>
      <c r="J57" s="10"/>
      <c r="K57" s="10">
        <v>12</v>
      </c>
      <c r="L57" s="10"/>
      <c r="M57" s="10">
        <v>11</v>
      </c>
      <c r="N57" s="10"/>
      <c r="O57" s="10">
        <v>13</v>
      </c>
      <c r="P57" s="10"/>
      <c r="Q57" s="10">
        <v>14</v>
      </c>
      <c r="R57" s="10"/>
      <c r="S57" s="13">
        <v>46002</v>
      </c>
      <c r="T57" s="10" t="s">
        <v>25</v>
      </c>
      <c r="U57" s="10"/>
    </row>
    <row r="58" spans="1:21" x14ac:dyDescent="0.25">
      <c r="A58" s="1" t="s">
        <v>79</v>
      </c>
      <c r="B58" s="10">
        <v>697</v>
      </c>
      <c r="C58" s="10">
        <v>9205</v>
      </c>
      <c r="D58" s="19">
        <f t="shared" si="0"/>
        <v>270</v>
      </c>
      <c r="E58" s="10">
        <v>36</v>
      </c>
      <c r="F58" s="10"/>
      <c r="G58" s="10">
        <v>44</v>
      </c>
      <c r="H58" s="10"/>
      <c r="I58" s="10">
        <v>50</v>
      </c>
      <c r="J58" s="10"/>
      <c r="K58" s="10">
        <v>35</v>
      </c>
      <c r="L58" s="10"/>
      <c r="M58" s="10">
        <v>36</v>
      </c>
      <c r="N58" s="10"/>
      <c r="O58" s="10">
        <v>33</v>
      </c>
      <c r="P58" s="10"/>
      <c r="Q58" s="10">
        <v>36</v>
      </c>
      <c r="R58" s="10"/>
      <c r="S58" s="13">
        <v>46002</v>
      </c>
      <c r="T58" s="10" t="s">
        <v>25</v>
      </c>
      <c r="U58" s="10"/>
    </row>
    <row r="59" spans="1:21" x14ac:dyDescent="0.25">
      <c r="A59" s="1" t="s">
        <v>33</v>
      </c>
      <c r="B59" s="10">
        <v>698</v>
      </c>
      <c r="C59" s="10">
        <v>9205</v>
      </c>
      <c r="D59" s="19">
        <f t="shared" si="0"/>
        <v>72</v>
      </c>
      <c r="E59" s="10">
        <v>6</v>
      </c>
      <c r="F59" s="10">
        <v>6</v>
      </c>
      <c r="G59" s="10">
        <v>6</v>
      </c>
      <c r="H59" s="10">
        <v>6</v>
      </c>
      <c r="I59" s="10">
        <v>6</v>
      </c>
      <c r="J59" s="10">
        <v>6</v>
      </c>
      <c r="K59" s="10">
        <v>6</v>
      </c>
      <c r="L59" s="10">
        <v>3</v>
      </c>
      <c r="M59" s="10">
        <v>6</v>
      </c>
      <c r="N59" s="10">
        <v>3</v>
      </c>
      <c r="O59" s="10">
        <v>6</v>
      </c>
      <c r="P59" s="10">
        <v>3</v>
      </c>
      <c r="Q59" s="10">
        <v>6</v>
      </c>
      <c r="R59" s="10">
        <v>3</v>
      </c>
      <c r="S59" s="13">
        <v>46002</v>
      </c>
      <c r="T59" s="10" t="s">
        <v>59</v>
      </c>
      <c r="U59" s="10" t="s">
        <v>59</v>
      </c>
    </row>
    <row r="60" spans="1:21" x14ac:dyDescent="0.25">
      <c r="A60" s="1" t="s">
        <v>33</v>
      </c>
      <c r="B60" s="10">
        <v>699</v>
      </c>
      <c r="C60" s="10">
        <v>9219</v>
      </c>
      <c r="D60" s="19">
        <f t="shared" si="0"/>
        <v>72</v>
      </c>
      <c r="E60" s="10">
        <v>6</v>
      </c>
      <c r="F60" s="10">
        <v>6</v>
      </c>
      <c r="G60" s="10">
        <v>6</v>
      </c>
      <c r="H60" s="10">
        <v>6</v>
      </c>
      <c r="I60" s="10">
        <v>6</v>
      </c>
      <c r="J60" s="10">
        <v>6</v>
      </c>
      <c r="K60" s="10">
        <v>6</v>
      </c>
      <c r="L60" s="10">
        <v>3</v>
      </c>
      <c r="M60" s="10">
        <v>6</v>
      </c>
      <c r="N60" s="10">
        <v>3</v>
      </c>
      <c r="O60" s="10">
        <v>6</v>
      </c>
      <c r="P60" s="10">
        <v>3</v>
      </c>
      <c r="Q60" s="10">
        <v>6</v>
      </c>
      <c r="R60" s="10">
        <v>3</v>
      </c>
      <c r="S60" s="13">
        <v>46002</v>
      </c>
      <c r="T60" s="10" t="s">
        <v>53</v>
      </c>
      <c r="U60" s="10" t="s">
        <v>53</v>
      </c>
    </row>
    <row r="61" spans="1:21" x14ac:dyDescent="0.25">
      <c r="A61" s="1" t="s">
        <v>33</v>
      </c>
      <c r="B61" s="10">
        <v>700</v>
      </c>
      <c r="C61" s="10">
        <v>9227</v>
      </c>
      <c r="D61" s="19">
        <f t="shared" si="0"/>
        <v>72</v>
      </c>
      <c r="E61" s="10">
        <v>6</v>
      </c>
      <c r="F61" s="10">
        <v>6</v>
      </c>
      <c r="G61" s="10">
        <v>6</v>
      </c>
      <c r="H61" s="10">
        <v>6</v>
      </c>
      <c r="I61" s="10">
        <v>6</v>
      </c>
      <c r="J61" s="10">
        <v>6</v>
      </c>
      <c r="K61" s="10">
        <v>6</v>
      </c>
      <c r="L61" s="10">
        <v>3</v>
      </c>
      <c r="M61" s="10">
        <v>6</v>
      </c>
      <c r="N61" s="10">
        <v>3</v>
      </c>
      <c r="O61" s="10">
        <v>6</v>
      </c>
      <c r="P61" s="10">
        <v>3</v>
      </c>
      <c r="Q61" s="10">
        <v>6</v>
      </c>
      <c r="R61" s="10">
        <v>3</v>
      </c>
      <c r="S61" s="13">
        <v>46002</v>
      </c>
      <c r="T61" s="10"/>
      <c r="U61" s="10"/>
    </row>
    <row r="62" spans="1:21" x14ac:dyDescent="0.25">
      <c r="A62" s="1" t="s">
        <v>33</v>
      </c>
      <c r="B62" s="10">
        <v>701</v>
      </c>
      <c r="C62" s="10">
        <v>9218</v>
      </c>
      <c r="D62" s="19">
        <f t="shared" si="0"/>
        <v>72</v>
      </c>
      <c r="E62" s="10">
        <v>6</v>
      </c>
      <c r="F62" s="10">
        <v>6</v>
      </c>
      <c r="G62" s="10">
        <v>6</v>
      </c>
      <c r="H62" s="10">
        <v>6</v>
      </c>
      <c r="I62" s="10">
        <v>6</v>
      </c>
      <c r="J62" s="10">
        <v>6</v>
      </c>
      <c r="K62" s="10">
        <v>6</v>
      </c>
      <c r="L62" s="10">
        <v>3</v>
      </c>
      <c r="M62" s="10">
        <v>6</v>
      </c>
      <c r="N62" s="10">
        <v>3</v>
      </c>
      <c r="O62" s="10">
        <v>6</v>
      </c>
      <c r="P62" s="10">
        <v>3</v>
      </c>
      <c r="Q62" s="10">
        <v>6</v>
      </c>
      <c r="R62" s="10">
        <v>3</v>
      </c>
      <c r="S62" s="13">
        <v>46002</v>
      </c>
      <c r="T62" s="10" t="s">
        <v>53</v>
      </c>
      <c r="U62" s="10" t="s">
        <v>53</v>
      </c>
    </row>
    <row r="63" spans="1:21" x14ac:dyDescent="0.25">
      <c r="B63" s="16"/>
      <c r="C63" s="16"/>
      <c r="D63" s="10">
        <f>SUM(D3:D62)</f>
        <v>2440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2:21" x14ac:dyDescent="0.2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2:21" x14ac:dyDescent="0.25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2:21" x14ac:dyDescent="0.25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2:21" x14ac:dyDescent="0.25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2:21" x14ac:dyDescent="0.25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2:2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2:21" x14ac:dyDescent="0.25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2:2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2:21" x14ac:dyDescent="0.25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2:21" x14ac:dyDescent="0.25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2:21" x14ac:dyDescent="0.25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2:21" x14ac:dyDescent="0.25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2:21" x14ac:dyDescent="0.25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2:21" x14ac:dyDescent="0.25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2:21" x14ac:dyDescent="0.25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2:21" x14ac:dyDescent="0.25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2:21" x14ac:dyDescent="0.25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2:21" x14ac:dyDescent="0.25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spans="2:21" x14ac:dyDescent="0.25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2:21" x14ac:dyDescent="0.25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2:21" x14ac:dyDescent="0.25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</sheetData>
  <mergeCells count="4">
    <mergeCell ref="A1:D1"/>
    <mergeCell ref="E1:R1"/>
    <mergeCell ref="S1:S2"/>
    <mergeCell ref="T1:U1"/>
  </mergeCells>
  <pageMargins left="0.7" right="0.7" top="0.75" bottom="0.75" header="0.3" footer="0.3"/>
  <ignoredErrors>
    <ignoredError sqref="D3:D12 D13 D14:D16 D17:D26 D27:D29 D30:D32 D33:D62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7"/>
  <sheetViews>
    <sheetView topLeftCell="A13" workbookViewId="0">
      <selection activeCell="A17" sqref="A17:XFD17"/>
    </sheetView>
  </sheetViews>
  <sheetFormatPr defaultColWidth="11.42578125" defaultRowHeight="15" x14ac:dyDescent="0.25"/>
  <cols>
    <col min="1" max="1" width="21" customWidth="1"/>
    <col min="5" max="5" width="4.5703125" customWidth="1"/>
    <col min="6" max="6" width="5.5703125" customWidth="1"/>
    <col min="7" max="7" width="4.5703125" customWidth="1"/>
    <col min="8" max="8" width="5.28515625" customWidth="1"/>
    <col min="9" max="9" width="4.42578125" customWidth="1"/>
    <col min="10" max="10" width="5" customWidth="1"/>
    <col min="11" max="11" width="4.28515625" customWidth="1"/>
    <col min="12" max="12" width="5.42578125" customWidth="1"/>
    <col min="13" max="13" width="4.28515625" customWidth="1"/>
    <col min="14" max="14" width="5" customWidth="1"/>
    <col min="15" max="15" width="4.140625" customWidth="1"/>
    <col min="16" max="16" width="5.5703125" customWidth="1"/>
    <col min="17" max="17" width="4.140625" customWidth="1"/>
    <col min="18" max="18" width="5.140625" customWidth="1"/>
    <col min="19" max="19" width="16.42578125" customWidth="1"/>
    <col min="20" max="20" width="13.5703125" customWidth="1"/>
    <col min="21" max="21" width="13.7109375" customWidth="1"/>
  </cols>
  <sheetData>
    <row r="1" spans="1:21" ht="18.75" x14ac:dyDescent="0.25">
      <c r="A1" s="63" t="s">
        <v>83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6" t="s">
        <v>0</v>
      </c>
      <c r="B2" s="6" t="s">
        <v>1</v>
      </c>
      <c r="C2" s="6" t="s">
        <v>3</v>
      </c>
      <c r="D2" s="12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66"/>
      <c r="T2" s="22" t="s">
        <v>9</v>
      </c>
      <c r="U2" s="22" t="s">
        <v>10</v>
      </c>
    </row>
    <row r="3" spans="1:21" x14ac:dyDescent="0.25">
      <c r="A3" s="1" t="s">
        <v>79</v>
      </c>
      <c r="B3" s="10">
        <v>712</v>
      </c>
      <c r="C3" s="10">
        <v>9240</v>
      </c>
      <c r="D3" s="17">
        <f>SUM(E3:R3)</f>
        <v>100</v>
      </c>
      <c r="E3" s="10">
        <v>16</v>
      </c>
      <c r="F3" s="10"/>
      <c r="G3" s="10">
        <v>16</v>
      </c>
      <c r="H3" s="10"/>
      <c r="I3" s="10">
        <v>14</v>
      </c>
      <c r="J3" s="10"/>
      <c r="K3" s="10">
        <v>13</v>
      </c>
      <c r="L3" s="10"/>
      <c r="M3" s="10">
        <v>13</v>
      </c>
      <c r="N3" s="10"/>
      <c r="O3" s="10">
        <v>14</v>
      </c>
      <c r="P3" s="10"/>
      <c r="Q3" s="10">
        <v>14</v>
      </c>
      <c r="R3" s="10"/>
      <c r="S3" s="13">
        <v>46028</v>
      </c>
      <c r="T3" s="10" t="s">
        <v>25</v>
      </c>
      <c r="U3" s="10" t="s">
        <v>25</v>
      </c>
    </row>
    <row r="4" spans="1:21" x14ac:dyDescent="0.25">
      <c r="A4" s="1" t="s">
        <v>45</v>
      </c>
      <c r="B4" s="10">
        <v>713</v>
      </c>
      <c r="C4" s="10">
        <v>9220</v>
      </c>
      <c r="D4" s="17">
        <f t="shared" ref="D4:D22" si="0">SUM(E4:R4)</f>
        <v>24</v>
      </c>
      <c r="E4" s="10">
        <v>2</v>
      </c>
      <c r="F4" s="10">
        <v>2</v>
      </c>
      <c r="G4" s="10">
        <v>2</v>
      </c>
      <c r="H4" s="10">
        <v>2</v>
      </c>
      <c r="I4" s="10">
        <v>2</v>
      </c>
      <c r="J4" s="10">
        <v>2</v>
      </c>
      <c r="K4" s="10">
        <v>2</v>
      </c>
      <c r="L4" s="10">
        <v>1</v>
      </c>
      <c r="M4" s="10">
        <v>2</v>
      </c>
      <c r="N4" s="10">
        <v>1</v>
      </c>
      <c r="O4" s="10">
        <v>2</v>
      </c>
      <c r="P4" s="10">
        <v>1</v>
      </c>
      <c r="Q4" s="10">
        <v>2</v>
      </c>
      <c r="R4" s="10">
        <v>1</v>
      </c>
      <c r="S4" s="13">
        <v>46030</v>
      </c>
      <c r="T4" s="10"/>
      <c r="U4" s="10"/>
    </row>
    <row r="5" spans="1:21" x14ac:dyDescent="0.25">
      <c r="A5" s="1" t="s">
        <v>45</v>
      </c>
      <c r="B5" s="10">
        <v>714</v>
      </c>
      <c r="C5" s="10">
        <v>9213</v>
      </c>
      <c r="D5" s="17">
        <f t="shared" si="0"/>
        <v>24</v>
      </c>
      <c r="E5" s="10">
        <v>2</v>
      </c>
      <c r="F5" s="10">
        <v>2</v>
      </c>
      <c r="G5" s="10">
        <v>2</v>
      </c>
      <c r="H5" s="10">
        <v>2</v>
      </c>
      <c r="I5" s="10">
        <v>2</v>
      </c>
      <c r="J5" s="10">
        <v>2</v>
      </c>
      <c r="K5" s="10">
        <v>2</v>
      </c>
      <c r="L5" s="10">
        <v>1</v>
      </c>
      <c r="M5" s="10">
        <v>2</v>
      </c>
      <c r="N5" s="10">
        <v>1</v>
      </c>
      <c r="O5" s="10">
        <v>2</v>
      </c>
      <c r="P5" s="10">
        <v>1</v>
      </c>
      <c r="Q5" s="10">
        <v>2</v>
      </c>
      <c r="R5" s="10">
        <v>1</v>
      </c>
      <c r="S5" s="13">
        <v>46030</v>
      </c>
      <c r="T5" s="10" t="s">
        <v>53</v>
      </c>
      <c r="U5" s="10" t="s">
        <v>53</v>
      </c>
    </row>
    <row r="6" spans="1:21" ht="14.25" customHeight="1" x14ac:dyDescent="0.25">
      <c r="A6" s="1" t="s">
        <v>45</v>
      </c>
      <c r="B6" s="10">
        <v>715</v>
      </c>
      <c r="C6" s="10">
        <v>9225</v>
      </c>
      <c r="D6" s="17">
        <f t="shared" si="0"/>
        <v>24</v>
      </c>
      <c r="E6" s="10">
        <v>2</v>
      </c>
      <c r="F6" s="10">
        <v>2</v>
      </c>
      <c r="G6" s="10">
        <v>2</v>
      </c>
      <c r="H6" s="10">
        <v>2</v>
      </c>
      <c r="I6" s="10">
        <v>2</v>
      </c>
      <c r="J6" s="10">
        <v>2</v>
      </c>
      <c r="K6" s="10">
        <v>2</v>
      </c>
      <c r="L6" s="10">
        <v>1</v>
      </c>
      <c r="M6" s="10">
        <v>2</v>
      </c>
      <c r="N6" s="10">
        <v>1</v>
      </c>
      <c r="O6" s="10">
        <v>2</v>
      </c>
      <c r="P6" s="10">
        <v>1</v>
      </c>
      <c r="Q6" s="10">
        <v>2</v>
      </c>
      <c r="R6" s="10">
        <v>1</v>
      </c>
      <c r="S6" s="13">
        <v>46030</v>
      </c>
      <c r="T6" s="10" t="s">
        <v>53</v>
      </c>
      <c r="U6" s="10" t="s">
        <v>53</v>
      </c>
    </row>
    <row r="7" spans="1:21" x14ac:dyDescent="0.25">
      <c r="A7" s="1" t="s">
        <v>45</v>
      </c>
      <c r="B7" s="10">
        <v>716</v>
      </c>
      <c r="C7" s="10">
        <v>9205</v>
      </c>
      <c r="D7" s="17">
        <f t="shared" si="0"/>
        <v>24</v>
      </c>
      <c r="E7" s="10">
        <v>2</v>
      </c>
      <c r="F7" s="10">
        <v>2</v>
      </c>
      <c r="G7" s="10">
        <v>2</v>
      </c>
      <c r="H7" s="10">
        <v>2</v>
      </c>
      <c r="I7" s="10">
        <v>2</v>
      </c>
      <c r="J7" s="10">
        <v>2</v>
      </c>
      <c r="K7" s="10">
        <v>2</v>
      </c>
      <c r="L7" s="10">
        <v>1</v>
      </c>
      <c r="M7" s="10">
        <v>2</v>
      </c>
      <c r="N7" s="10">
        <v>1</v>
      </c>
      <c r="O7" s="10">
        <v>2</v>
      </c>
      <c r="P7" s="10">
        <v>1</v>
      </c>
      <c r="Q7" s="10">
        <v>2</v>
      </c>
      <c r="R7" s="10">
        <v>1</v>
      </c>
      <c r="S7" s="13">
        <v>46030</v>
      </c>
      <c r="T7" s="10" t="s">
        <v>59</v>
      </c>
      <c r="U7" s="10" t="s">
        <v>23</v>
      </c>
    </row>
    <row r="8" spans="1:21" x14ac:dyDescent="0.25">
      <c r="A8" s="1" t="s">
        <v>45</v>
      </c>
      <c r="B8" s="10">
        <v>717</v>
      </c>
      <c r="C8" s="10">
        <v>9201</v>
      </c>
      <c r="D8" s="17">
        <f t="shared" si="0"/>
        <v>24</v>
      </c>
      <c r="E8" s="10">
        <v>2</v>
      </c>
      <c r="F8" s="10">
        <v>2</v>
      </c>
      <c r="G8" s="10">
        <v>2</v>
      </c>
      <c r="H8" s="10">
        <v>2</v>
      </c>
      <c r="I8" s="10">
        <v>2</v>
      </c>
      <c r="J8" s="10">
        <v>2</v>
      </c>
      <c r="K8" s="10">
        <v>2</v>
      </c>
      <c r="L8" s="10">
        <v>1</v>
      </c>
      <c r="M8" s="10">
        <v>2</v>
      </c>
      <c r="N8" s="10">
        <v>1</v>
      </c>
      <c r="O8" s="10">
        <v>2</v>
      </c>
      <c r="P8" s="10">
        <v>1</v>
      </c>
      <c r="Q8" s="10">
        <v>2</v>
      </c>
      <c r="R8" s="10">
        <v>1</v>
      </c>
      <c r="S8" s="13">
        <v>46030</v>
      </c>
      <c r="T8" s="10" t="s">
        <v>53</v>
      </c>
      <c r="U8" s="10" t="s">
        <v>53</v>
      </c>
    </row>
    <row r="9" spans="1:21" x14ac:dyDescent="0.25">
      <c r="A9" s="1" t="s">
        <v>45</v>
      </c>
      <c r="B9" s="10">
        <v>718</v>
      </c>
      <c r="C9" s="10">
        <v>9213</v>
      </c>
      <c r="D9" s="17">
        <f t="shared" si="0"/>
        <v>24</v>
      </c>
      <c r="E9" s="10">
        <v>2</v>
      </c>
      <c r="F9" s="10">
        <v>2</v>
      </c>
      <c r="G9" s="10">
        <v>2</v>
      </c>
      <c r="H9" s="10">
        <v>2</v>
      </c>
      <c r="I9" s="10">
        <v>2</v>
      </c>
      <c r="J9" s="10">
        <v>2</v>
      </c>
      <c r="K9" s="10">
        <v>2</v>
      </c>
      <c r="L9" s="10">
        <v>1</v>
      </c>
      <c r="M9" s="10">
        <v>2</v>
      </c>
      <c r="N9" s="10">
        <v>1</v>
      </c>
      <c r="O9" s="10">
        <v>2</v>
      </c>
      <c r="P9" s="10">
        <v>1</v>
      </c>
      <c r="Q9" s="10">
        <v>2</v>
      </c>
      <c r="R9" s="10">
        <v>1</v>
      </c>
      <c r="S9" s="13">
        <v>46030</v>
      </c>
      <c r="T9" s="10" t="s">
        <v>23</v>
      </c>
      <c r="U9" s="10"/>
    </row>
    <row r="10" spans="1:21" x14ac:dyDescent="0.25">
      <c r="A10" s="1" t="s">
        <v>45</v>
      </c>
      <c r="B10" s="10">
        <v>719</v>
      </c>
      <c r="C10" s="10">
        <v>9208</v>
      </c>
      <c r="D10" s="17">
        <f t="shared" si="0"/>
        <v>24</v>
      </c>
      <c r="E10" s="10">
        <v>2</v>
      </c>
      <c r="F10" s="10">
        <v>2</v>
      </c>
      <c r="G10" s="10">
        <v>2</v>
      </c>
      <c r="H10" s="10">
        <v>2</v>
      </c>
      <c r="I10" s="10">
        <v>2</v>
      </c>
      <c r="J10" s="10">
        <v>2</v>
      </c>
      <c r="K10" s="10">
        <v>2</v>
      </c>
      <c r="L10" s="10">
        <v>1</v>
      </c>
      <c r="M10" s="10">
        <v>2</v>
      </c>
      <c r="N10" s="10">
        <v>1</v>
      </c>
      <c r="O10" s="10">
        <v>2</v>
      </c>
      <c r="P10" s="10">
        <v>1</v>
      </c>
      <c r="Q10" s="10">
        <v>2</v>
      </c>
      <c r="R10" s="10">
        <v>1</v>
      </c>
      <c r="S10" s="13">
        <v>46030</v>
      </c>
      <c r="T10" s="10" t="s">
        <v>25</v>
      </c>
      <c r="U10" s="10" t="s">
        <v>23</v>
      </c>
    </row>
    <row r="11" spans="1:21" x14ac:dyDescent="0.25">
      <c r="A11" s="1" t="s">
        <v>45</v>
      </c>
      <c r="B11" s="10">
        <v>720</v>
      </c>
      <c r="C11" s="10">
        <v>9226</v>
      </c>
      <c r="D11" s="17">
        <f t="shared" si="0"/>
        <v>24</v>
      </c>
      <c r="E11" s="10">
        <v>2</v>
      </c>
      <c r="F11" s="10">
        <v>2</v>
      </c>
      <c r="G11" s="10">
        <v>2</v>
      </c>
      <c r="H11" s="10">
        <v>2</v>
      </c>
      <c r="I11" s="10">
        <v>2</v>
      </c>
      <c r="J11" s="10">
        <v>2</v>
      </c>
      <c r="K11" s="10">
        <v>2</v>
      </c>
      <c r="L11" s="10">
        <v>1</v>
      </c>
      <c r="M11" s="10">
        <v>2</v>
      </c>
      <c r="N11" s="10">
        <v>1</v>
      </c>
      <c r="O11" s="10">
        <v>2</v>
      </c>
      <c r="P11" s="10">
        <v>1</v>
      </c>
      <c r="Q11" s="10">
        <v>2</v>
      </c>
      <c r="R11" s="10">
        <v>1</v>
      </c>
      <c r="S11" s="13">
        <v>46030</v>
      </c>
      <c r="T11" s="10" t="s">
        <v>23</v>
      </c>
      <c r="U11" s="10" t="s">
        <v>53</v>
      </c>
    </row>
    <row r="12" spans="1:21" x14ac:dyDescent="0.25">
      <c r="A12" s="1" t="s">
        <v>45</v>
      </c>
      <c r="B12" s="10">
        <v>721</v>
      </c>
      <c r="C12" s="10">
        <v>9201</v>
      </c>
      <c r="D12" s="17">
        <f t="shared" si="0"/>
        <v>24</v>
      </c>
      <c r="E12" s="10">
        <v>2</v>
      </c>
      <c r="F12" s="10">
        <v>2</v>
      </c>
      <c r="G12" s="10">
        <v>2</v>
      </c>
      <c r="H12" s="10">
        <v>2</v>
      </c>
      <c r="I12" s="10">
        <v>2</v>
      </c>
      <c r="J12" s="10">
        <v>2</v>
      </c>
      <c r="K12" s="10">
        <v>2</v>
      </c>
      <c r="L12" s="10">
        <v>1</v>
      </c>
      <c r="M12" s="10">
        <v>2</v>
      </c>
      <c r="N12" s="10">
        <v>1</v>
      </c>
      <c r="O12" s="10">
        <v>2</v>
      </c>
      <c r="P12" s="10">
        <v>1</v>
      </c>
      <c r="Q12" s="10">
        <v>2</v>
      </c>
      <c r="R12" s="10">
        <v>1</v>
      </c>
      <c r="S12" s="13">
        <v>46030</v>
      </c>
      <c r="T12" s="10" t="s">
        <v>53</v>
      </c>
      <c r="U12" s="10" t="s">
        <v>53</v>
      </c>
    </row>
    <row r="13" spans="1:21" x14ac:dyDescent="0.25">
      <c r="A13" s="1" t="s">
        <v>45</v>
      </c>
      <c r="B13" s="10">
        <v>722</v>
      </c>
      <c r="C13" s="10">
        <v>9245</v>
      </c>
      <c r="D13" s="17">
        <f t="shared" si="0"/>
        <v>24</v>
      </c>
      <c r="E13" s="10">
        <v>2</v>
      </c>
      <c r="F13" s="10">
        <v>2</v>
      </c>
      <c r="G13" s="10">
        <v>2</v>
      </c>
      <c r="H13" s="10">
        <v>2</v>
      </c>
      <c r="I13" s="10">
        <v>2</v>
      </c>
      <c r="J13" s="10">
        <v>2</v>
      </c>
      <c r="K13" s="10">
        <v>2</v>
      </c>
      <c r="L13" s="10">
        <v>1</v>
      </c>
      <c r="M13" s="10">
        <v>2</v>
      </c>
      <c r="N13" s="10">
        <v>1</v>
      </c>
      <c r="O13" s="10">
        <v>2</v>
      </c>
      <c r="P13" s="10">
        <v>1</v>
      </c>
      <c r="Q13" s="10">
        <v>2</v>
      </c>
      <c r="R13" s="10">
        <v>1</v>
      </c>
      <c r="S13" s="13">
        <v>46030</v>
      </c>
      <c r="T13" s="10"/>
      <c r="U13" s="10"/>
    </row>
    <row r="14" spans="1:21" x14ac:dyDescent="0.25">
      <c r="A14" s="1" t="s">
        <v>33</v>
      </c>
      <c r="B14" s="10">
        <v>726</v>
      </c>
      <c r="C14" s="10">
        <v>9218</v>
      </c>
      <c r="D14" s="17">
        <f t="shared" si="0"/>
        <v>48</v>
      </c>
      <c r="E14" s="10">
        <v>4</v>
      </c>
      <c r="F14" s="10">
        <v>4</v>
      </c>
      <c r="G14" s="10">
        <v>4</v>
      </c>
      <c r="H14" s="10">
        <v>4</v>
      </c>
      <c r="I14" s="10">
        <v>4</v>
      </c>
      <c r="J14" s="10">
        <v>4</v>
      </c>
      <c r="K14" s="10">
        <v>4</v>
      </c>
      <c r="L14" s="10">
        <v>2</v>
      </c>
      <c r="M14" s="10">
        <v>4</v>
      </c>
      <c r="N14" s="10">
        <v>2</v>
      </c>
      <c r="O14" s="10">
        <v>4</v>
      </c>
      <c r="P14" s="10">
        <v>2</v>
      </c>
      <c r="Q14" s="10">
        <v>4</v>
      </c>
      <c r="R14" s="10">
        <v>2</v>
      </c>
      <c r="S14" s="13">
        <v>46031</v>
      </c>
      <c r="T14" s="10" t="s">
        <v>53</v>
      </c>
      <c r="U14" s="10" t="s">
        <v>53</v>
      </c>
    </row>
    <row r="15" spans="1:21" x14ac:dyDescent="0.25">
      <c r="A15" s="1" t="s">
        <v>33</v>
      </c>
      <c r="B15" s="10">
        <v>727</v>
      </c>
      <c r="C15" s="10">
        <v>9209</v>
      </c>
      <c r="D15" s="17">
        <f t="shared" si="0"/>
        <v>48</v>
      </c>
      <c r="E15" s="10">
        <v>4</v>
      </c>
      <c r="F15" s="10">
        <v>4</v>
      </c>
      <c r="G15" s="10">
        <v>4</v>
      </c>
      <c r="H15" s="10">
        <v>4</v>
      </c>
      <c r="I15" s="10">
        <v>4</v>
      </c>
      <c r="J15" s="10">
        <v>4</v>
      </c>
      <c r="K15" s="10">
        <v>4</v>
      </c>
      <c r="L15" s="10">
        <v>2</v>
      </c>
      <c r="M15" s="10">
        <v>4</v>
      </c>
      <c r="N15" s="10">
        <v>2</v>
      </c>
      <c r="O15" s="10">
        <v>4</v>
      </c>
      <c r="P15" s="10">
        <v>2</v>
      </c>
      <c r="Q15" s="10">
        <v>4</v>
      </c>
      <c r="R15" s="10">
        <v>2</v>
      </c>
      <c r="S15" s="13">
        <v>46031</v>
      </c>
      <c r="T15" s="10" t="s">
        <v>25</v>
      </c>
      <c r="U15" s="10" t="s">
        <v>23</v>
      </c>
    </row>
    <row r="16" spans="1:21" x14ac:dyDescent="0.25">
      <c r="A16" s="1" t="s">
        <v>33</v>
      </c>
      <c r="B16" s="10">
        <v>728</v>
      </c>
      <c r="C16" s="10">
        <v>9213</v>
      </c>
      <c r="D16" s="17">
        <f t="shared" si="0"/>
        <v>48</v>
      </c>
      <c r="E16" s="10">
        <v>4</v>
      </c>
      <c r="F16" s="10">
        <v>4</v>
      </c>
      <c r="G16" s="10">
        <v>4</v>
      </c>
      <c r="H16" s="10">
        <v>4</v>
      </c>
      <c r="I16" s="10">
        <v>4</v>
      </c>
      <c r="J16" s="10">
        <v>4</v>
      </c>
      <c r="K16" s="10">
        <v>4</v>
      </c>
      <c r="L16" s="10">
        <v>2</v>
      </c>
      <c r="M16" s="10">
        <v>4</v>
      </c>
      <c r="N16" s="10">
        <v>2</v>
      </c>
      <c r="O16" s="10">
        <v>4</v>
      </c>
      <c r="P16" s="10">
        <v>2</v>
      </c>
      <c r="Q16" s="10">
        <v>4</v>
      </c>
      <c r="R16" s="10">
        <v>2</v>
      </c>
      <c r="S16" s="13">
        <v>46031</v>
      </c>
      <c r="T16" s="10" t="s">
        <v>59</v>
      </c>
      <c r="U16" s="10" t="s">
        <v>23</v>
      </c>
    </row>
    <row r="17" spans="1:21" x14ac:dyDescent="0.25">
      <c r="A17" s="1" t="s">
        <v>33</v>
      </c>
      <c r="B17" s="10">
        <v>729</v>
      </c>
      <c r="C17" s="10">
        <v>9202</v>
      </c>
      <c r="D17" s="17">
        <f t="shared" si="0"/>
        <v>48</v>
      </c>
      <c r="E17" s="10">
        <v>4</v>
      </c>
      <c r="F17" s="10">
        <v>4</v>
      </c>
      <c r="G17" s="10">
        <v>4</v>
      </c>
      <c r="H17" s="10">
        <v>4</v>
      </c>
      <c r="I17" s="10">
        <v>4</v>
      </c>
      <c r="J17" s="10">
        <v>4</v>
      </c>
      <c r="K17" s="10">
        <v>4</v>
      </c>
      <c r="L17" s="10">
        <v>2</v>
      </c>
      <c r="M17" s="10">
        <v>4</v>
      </c>
      <c r="N17" s="10">
        <v>2</v>
      </c>
      <c r="O17" s="10">
        <v>4</v>
      </c>
      <c r="P17" s="10">
        <v>2</v>
      </c>
      <c r="Q17" s="10">
        <v>4</v>
      </c>
      <c r="R17" s="10">
        <v>2</v>
      </c>
      <c r="S17" s="13">
        <v>46031</v>
      </c>
      <c r="T17" s="10" t="s">
        <v>59</v>
      </c>
      <c r="U17" s="10" t="s">
        <v>53</v>
      </c>
    </row>
    <row r="18" spans="1:21" x14ac:dyDescent="0.25">
      <c r="A18" s="1" t="s">
        <v>33</v>
      </c>
      <c r="B18" s="10">
        <v>730</v>
      </c>
      <c r="C18" s="10">
        <v>9219</v>
      </c>
      <c r="D18" s="17">
        <f t="shared" si="0"/>
        <v>48</v>
      </c>
      <c r="E18" s="10">
        <v>4</v>
      </c>
      <c r="F18" s="10">
        <v>4</v>
      </c>
      <c r="G18" s="10">
        <v>4</v>
      </c>
      <c r="H18" s="10">
        <v>4</v>
      </c>
      <c r="I18" s="10">
        <v>4</v>
      </c>
      <c r="J18" s="10">
        <v>4</v>
      </c>
      <c r="K18" s="10">
        <v>4</v>
      </c>
      <c r="L18" s="10">
        <v>2</v>
      </c>
      <c r="M18" s="10">
        <v>4</v>
      </c>
      <c r="N18" s="10">
        <v>2</v>
      </c>
      <c r="O18" s="10">
        <v>4</v>
      </c>
      <c r="P18" s="10">
        <v>2</v>
      </c>
      <c r="Q18" s="10">
        <v>4</v>
      </c>
      <c r="R18" s="10">
        <v>2</v>
      </c>
      <c r="S18" s="13">
        <v>46031</v>
      </c>
      <c r="T18" s="10" t="s">
        <v>53</v>
      </c>
      <c r="U18" s="10" t="s">
        <v>53</v>
      </c>
    </row>
    <row r="19" spans="1:21" x14ac:dyDescent="0.25">
      <c r="A19" s="1" t="s">
        <v>45</v>
      </c>
      <c r="B19" s="10">
        <v>731</v>
      </c>
      <c r="C19" s="10">
        <v>9240</v>
      </c>
      <c r="D19" s="17">
        <f t="shared" si="0"/>
        <v>24</v>
      </c>
      <c r="E19" s="10">
        <v>2</v>
      </c>
      <c r="F19" s="10">
        <v>2</v>
      </c>
      <c r="G19" s="10">
        <v>2</v>
      </c>
      <c r="H19" s="10">
        <v>2</v>
      </c>
      <c r="I19" s="10">
        <v>2</v>
      </c>
      <c r="J19" s="10">
        <v>2</v>
      </c>
      <c r="K19" s="10">
        <v>2</v>
      </c>
      <c r="L19" s="10">
        <v>1</v>
      </c>
      <c r="M19" s="10">
        <v>2</v>
      </c>
      <c r="N19" s="10">
        <v>1</v>
      </c>
      <c r="O19" s="10">
        <v>2</v>
      </c>
      <c r="P19" s="10">
        <v>1</v>
      </c>
      <c r="Q19" s="10">
        <v>2</v>
      </c>
      <c r="R19" s="10">
        <v>1</v>
      </c>
      <c r="S19" s="13">
        <v>45669</v>
      </c>
      <c r="T19" s="10" t="s">
        <v>59</v>
      </c>
      <c r="U19" s="10"/>
    </row>
    <row r="20" spans="1:21" x14ac:dyDescent="0.25">
      <c r="A20" s="1" t="s">
        <v>45</v>
      </c>
      <c r="B20" s="10">
        <v>732</v>
      </c>
      <c r="C20" s="10">
        <v>9240</v>
      </c>
      <c r="D20" s="17">
        <f t="shared" si="0"/>
        <v>12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/>
      <c r="M20" s="10">
        <v>1</v>
      </c>
      <c r="N20" s="10">
        <v>1</v>
      </c>
      <c r="O20" s="10"/>
      <c r="P20" s="10">
        <v>1</v>
      </c>
      <c r="Q20" s="10">
        <v>1</v>
      </c>
      <c r="R20" s="10">
        <v>1</v>
      </c>
      <c r="S20" s="13">
        <v>45669</v>
      </c>
      <c r="T20" s="10" t="s">
        <v>59</v>
      </c>
      <c r="U20" s="10"/>
    </row>
    <row r="21" spans="1:21" x14ac:dyDescent="0.25">
      <c r="A21" s="1" t="s">
        <v>45</v>
      </c>
      <c r="B21" s="10">
        <v>733</v>
      </c>
      <c r="C21" s="10">
        <v>9213</v>
      </c>
      <c r="D21" s="17">
        <f t="shared" si="0"/>
        <v>24</v>
      </c>
      <c r="E21" s="10">
        <v>2</v>
      </c>
      <c r="F21" s="10">
        <v>2</v>
      </c>
      <c r="G21" s="10">
        <v>2</v>
      </c>
      <c r="H21" s="10">
        <v>2</v>
      </c>
      <c r="I21" s="10">
        <v>2</v>
      </c>
      <c r="J21" s="10">
        <v>2</v>
      </c>
      <c r="K21" s="10">
        <v>2</v>
      </c>
      <c r="L21" s="10">
        <v>1</v>
      </c>
      <c r="M21" s="10">
        <v>2</v>
      </c>
      <c r="N21" s="10">
        <v>1</v>
      </c>
      <c r="O21" s="10">
        <v>2</v>
      </c>
      <c r="P21" s="10">
        <v>1</v>
      </c>
      <c r="Q21" s="10">
        <v>2</v>
      </c>
      <c r="R21" s="10">
        <v>1</v>
      </c>
      <c r="S21" s="13">
        <v>45669</v>
      </c>
      <c r="T21" s="10" t="s">
        <v>59</v>
      </c>
      <c r="U21" s="10"/>
    </row>
    <row r="22" spans="1:21" x14ac:dyDescent="0.25">
      <c r="A22" s="1" t="s">
        <v>45</v>
      </c>
      <c r="B22" s="10">
        <v>734</v>
      </c>
      <c r="C22" s="10">
        <v>9213</v>
      </c>
      <c r="D22" s="17">
        <f t="shared" si="0"/>
        <v>12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/>
      <c r="M22" s="10">
        <v>1</v>
      </c>
      <c r="N22" s="10">
        <v>1</v>
      </c>
      <c r="O22" s="10"/>
      <c r="P22" s="10">
        <v>1</v>
      </c>
      <c r="Q22" s="10">
        <v>1</v>
      </c>
      <c r="R22" s="10">
        <v>1</v>
      </c>
      <c r="S22" s="13">
        <v>45669</v>
      </c>
      <c r="T22" s="10"/>
      <c r="U22" s="10"/>
    </row>
    <row r="23" spans="1:21" x14ac:dyDescent="0.25">
      <c r="D23" s="25">
        <f>SUM(D3:D22)</f>
        <v>652</v>
      </c>
    </row>
    <row r="24" spans="1:21" x14ac:dyDescent="0.25">
      <c r="D24" s="24"/>
    </row>
    <row r="25" spans="1:21" x14ac:dyDescent="0.25">
      <c r="D25" s="24"/>
    </row>
    <row r="26" spans="1:21" x14ac:dyDescent="0.25">
      <c r="D26" s="24"/>
    </row>
    <row r="27" spans="1:21" x14ac:dyDescent="0.25">
      <c r="D27" s="24"/>
    </row>
    <row r="28" spans="1:21" x14ac:dyDescent="0.25">
      <c r="D28" s="24"/>
    </row>
    <row r="29" spans="1:21" x14ac:dyDescent="0.25">
      <c r="D29" s="24"/>
    </row>
    <row r="30" spans="1:21" x14ac:dyDescent="0.25">
      <c r="D30" s="24"/>
    </row>
    <row r="31" spans="1:21" x14ac:dyDescent="0.25">
      <c r="D31" s="24"/>
    </row>
    <row r="32" spans="1:21" x14ac:dyDescent="0.25">
      <c r="D32" s="24"/>
    </row>
    <row r="33" spans="4:4" x14ac:dyDescent="0.25">
      <c r="D33" s="24"/>
    </row>
    <row r="34" spans="4:4" x14ac:dyDescent="0.25">
      <c r="D34" s="24"/>
    </row>
    <row r="35" spans="4:4" x14ac:dyDescent="0.25">
      <c r="D35" s="24"/>
    </row>
    <row r="36" spans="4:4" x14ac:dyDescent="0.25">
      <c r="D36" s="24"/>
    </row>
    <row r="37" spans="4:4" x14ac:dyDescent="0.25">
      <c r="D37" s="24"/>
    </row>
  </sheetData>
  <mergeCells count="4">
    <mergeCell ref="A1:D1"/>
    <mergeCell ref="E1:R1"/>
    <mergeCell ref="S1:S2"/>
    <mergeCell ref="T1:U1"/>
  </mergeCells>
  <pageMargins left="0.7" right="0.7" top="0.75" bottom="0.75" header="0.3" footer="0.3"/>
  <pageSetup paperSize="256" orientation="portrait" horizontalDpi="203" verticalDpi="203" r:id="rId1"/>
  <ignoredErrors>
    <ignoredError sqref="D3:D18 D19:D22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40"/>
  <sheetViews>
    <sheetView topLeftCell="A46" workbookViewId="0">
      <selection activeCell="C68" sqref="C68"/>
    </sheetView>
  </sheetViews>
  <sheetFormatPr defaultColWidth="11.42578125" defaultRowHeight="15" x14ac:dyDescent="0.25"/>
  <cols>
    <col min="1" max="1" width="21" customWidth="1"/>
    <col min="5" max="5" width="4.140625" customWidth="1"/>
    <col min="6" max="6" width="5.42578125" customWidth="1"/>
    <col min="7" max="7" width="4.140625" customWidth="1"/>
    <col min="8" max="8" width="5.140625" customWidth="1"/>
    <col min="9" max="9" width="4.5703125" customWidth="1"/>
    <col min="10" max="10" width="5.5703125" customWidth="1"/>
    <col min="11" max="11" width="5" customWidth="1"/>
    <col min="12" max="12" width="5.28515625" customWidth="1"/>
    <col min="13" max="13" width="4.7109375" customWidth="1"/>
    <col min="14" max="15" width="4.85546875" customWidth="1"/>
    <col min="16" max="16" width="5.140625" customWidth="1"/>
    <col min="17" max="17" width="4.140625" customWidth="1"/>
    <col min="18" max="18" width="5.7109375" customWidth="1"/>
    <col min="19" max="19" width="16.42578125" customWidth="1"/>
    <col min="20" max="20" width="13.85546875" customWidth="1"/>
    <col min="21" max="21" width="13.42578125" customWidth="1"/>
  </cols>
  <sheetData>
    <row r="1" spans="1:21" ht="18.75" x14ac:dyDescent="0.25">
      <c r="A1" s="63" t="s">
        <v>84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6" t="s">
        <v>0</v>
      </c>
      <c r="B2" s="6" t="s">
        <v>1</v>
      </c>
      <c r="C2" s="6" t="s">
        <v>3</v>
      </c>
      <c r="D2" s="12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66"/>
      <c r="T2" s="22" t="s">
        <v>9</v>
      </c>
      <c r="U2" s="22" t="s">
        <v>10</v>
      </c>
    </row>
    <row r="3" spans="1:21" x14ac:dyDescent="0.25">
      <c r="A3" s="1" t="s">
        <v>45</v>
      </c>
      <c r="B3" s="10">
        <v>737</v>
      </c>
      <c r="C3" s="10">
        <v>9214</v>
      </c>
      <c r="D3" s="19">
        <f t="shared" ref="D3:D48" si="0">SUM(E3:R3)</f>
        <v>48</v>
      </c>
      <c r="E3" s="10">
        <v>4</v>
      </c>
      <c r="F3" s="10">
        <v>4</v>
      </c>
      <c r="G3" s="10">
        <v>4</v>
      </c>
      <c r="H3" s="10">
        <v>4</v>
      </c>
      <c r="I3" s="10">
        <v>4</v>
      </c>
      <c r="J3" s="10">
        <v>4</v>
      </c>
      <c r="K3" s="10">
        <v>4</v>
      </c>
      <c r="L3" s="10">
        <v>2</v>
      </c>
      <c r="M3" s="10">
        <v>4</v>
      </c>
      <c r="N3" s="10">
        <v>2</v>
      </c>
      <c r="O3" s="10">
        <v>4</v>
      </c>
      <c r="P3" s="10">
        <v>2</v>
      </c>
      <c r="Q3" s="10">
        <v>4</v>
      </c>
      <c r="R3" s="10">
        <v>2</v>
      </c>
      <c r="S3" s="13">
        <v>46035</v>
      </c>
      <c r="T3" s="10"/>
      <c r="U3" s="10" t="s">
        <v>53</v>
      </c>
    </row>
    <row r="4" spans="1:21" x14ac:dyDescent="0.25">
      <c r="A4" s="1" t="s">
        <v>45</v>
      </c>
      <c r="B4" s="10">
        <v>738</v>
      </c>
      <c r="C4" s="10">
        <v>9218</v>
      </c>
      <c r="D4" s="19">
        <f t="shared" si="0"/>
        <v>48</v>
      </c>
      <c r="E4" s="10">
        <v>4</v>
      </c>
      <c r="F4" s="10">
        <v>4</v>
      </c>
      <c r="G4" s="10">
        <v>4</v>
      </c>
      <c r="H4" s="10">
        <v>4</v>
      </c>
      <c r="I4" s="10">
        <v>4</v>
      </c>
      <c r="J4" s="10">
        <v>4</v>
      </c>
      <c r="K4" s="10">
        <v>4</v>
      </c>
      <c r="L4" s="10">
        <v>2</v>
      </c>
      <c r="M4" s="10">
        <v>4</v>
      </c>
      <c r="N4" s="10">
        <v>2</v>
      </c>
      <c r="O4" s="10">
        <v>4</v>
      </c>
      <c r="P4" s="10">
        <v>2</v>
      </c>
      <c r="Q4" s="10">
        <v>4</v>
      </c>
      <c r="R4" s="10">
        <v>2</v>
      </c>
      <c r="S4" s="13">
        <v>46035</v>
      </c>
      <c r="T4" s="10" t="s">
        <v>53</v>
      </c>
      <c r="U4" s="10" t="s">
        <v>53</v>
      </c>
    </row>
    <row r="5" spans="1:21" x14ac:dyDescent="0.25">
      <c r="A5" s="1" t="s">
        <v>45</v>
      </c>
      <c r="B5" s="10">
        <v>739</v>
      </c>
      <c r="C5" s="10">
        <v>9201</v>
      </c>
      <c r="D5" s="19">
        <f t="shared" si="0"/>
        <v>48</v>
      </c>
      <c r="E5" s="10">
        <v>4</v>
      </c>
      <c r="F5" s="10">
        <v>4</v>
      </c>
      <c r="G5" s="10">
        <v>4</v>
      </c>
      <c r="H5" s="10">
        <v>4</v>
      </c>
      <c r="I5" s="10">
        <v>4</v>
      </c>
      <c r="J5" s="10">
        <v>4</v>
      </c>
      <c r="K5" s="10">
        <v>4</v>
      </c>
      <c r="L5" s="10">
        <v>2</v>
      </c>
      <c r="M5" s="10">
        <v>4</v>
      </c>
      <c r="N5" s="10">
        <v>2</v>
      </c>
      <c r="O5" s="10">
        <v>4</v>
      </c>
      <c r="P5" s="10">
        <v>2</v>
      </c>
      <c r="Q5" s="10">
        <v>4</v>
      </c>
      <c r="R5" s="10">
        <v>2</v>
      </c>
      <c r="S5" s="13">
        <v>46035</v>
      </c>
      <c r="T5" s="10" t="s">
        <v>53</v>
      </c>
      <c r="U5" s="10" t="s">
        <v>23</v>
      </c>
    </row>
    <row r="6" spans="1:21" x14ac:dyDescent="0.25">
      <c r="A6" s="1" t="s">
        <v>45</v>
      </c>
      <c r="B6" s="10">
        <v>740</v>
      </c>
      <c r="C6" s="10">
        <v>9202</v>
      </c>
      <c r="D6" s="19">
        <f t="shared" si="0"/>
        <v>48</v>
      </c>
      <c r="E6" s="10">
        <v>4</v>
      </c>
      <c r="F6" s="10">
        <v>4</v>
      </c>
      <c r="G6" s="10">
        <v>4</v>
      </c>
      <c r="H6" s="10">
        <v>4</v>
      </c>
      <c r="I6" s="10">
        <v>4</v>
      </c>
      <c r="J6" s="10">
        <v>4</v>
      </c>
      <c r="K6" s="10">
        <v>4</v>
      </c>
      <c r="L6" s="10">
        <v>2</v>
      </c>
      <c r="M6" s="10">
        <v>4</v>
      </c>
      <c r="N6" s="10">
        <v>2</v>
      </c>
      <c r="O6" s="10">
        <v>4</v>
      </c>
      <c r="P6" s="10">
        <v>2</v>
      </c>
      <c r="Q6" s="10">
        <v>4</v>
      </c>
      <c r="R6" s="10">
        <v>2</v>
      </c>
      <c r="S6" s="13">
        <v>46035</v>
      </c>
      <c r="T6" s="10"/>
      <c r="U6" s="10"/>
    </row>
    <row r="7" spans="1:21" x14ac:dyDescent="0.25">
      <c r="A7" s="1" t="s">
        <v>45</v>
      </c>
      <c r="B7" s="10">
        <v>741</v>
      </c>
      <c r="C7" s="10">
        <v>9225</v>
      </c>
      <c r="D7" s="19">
        <f t="shared" si="0"/>
        <v>48</v>
      </c>
      <c r="E7" s="10">
        <v>4</v>
      </c>
      <c r="F7" s="10">
        <v>4</v>
      </c>
      <c r="G7" s="10">
        <v>4</v>
      </c>
      <c r="H7" s="10">
        <v>4</v>
      </c>
      <c r="I7" s="10">
        <v>4</v>
      </c>
      <c r="J7" s="10">
        <v>4</v>
      </c>
      <c r="K7" s="10">
        <v>4</v>
      </c>
      <c r="L7" s="10">
        <v>2</v>
      </c>
      <c r="M7" s="10">
        <v>4</v>
      </c>
      <c r="N7" s="10">
        <v>2</v>
      </c>
      <c r="O7" s="10">
        <v>4</v>
      </c>
      <c r="P7" s="10">
        <v>2</v>
      </c>
      <c r="Q7" s="10">
        <v>4</v>
      </c>
      <c r="R7" s="10">
        <v>2</v>
      </c>
      <c r="S7" s="13">
        <v>46035</v>
      </c>
      <c r="T7" s="10" t="s">
        <v>53</v>
      </c>
      <c r="U7" s="10" t="s">
        <v>53</v>
      </c>
    </row>
    <row r="8" spans="1:21" x14ac:dyDescent="0.25">
      <c r="A8" s="1" t="s">
        <v>79</v>
      </c>
      <c r="B8" s="10">
        <v>742</v>
      </c>
      <c r="C8" s="10">
        <v>9205</v>
      </c>
      <c r="D8" s="19">
        <f t="shared" si="0"/>
        <v>90</v>
      </c>
      <c r="E8" s="10">
        <v>11</v>
      </c>
      <c r="F8" s="10"/>
      <c r="G8" s="10">
        <v>14</v>
      </c>
      <c r="H8" s="10"/>
      <c r="I8" s="10">
        <v>15</v>
      </c>
      <c r="J8" s="10"/>
      <c r="K8" s="10">
        <v>12</v>
      </c>
      <c r="L8" s="10"/>
      <c r="M8" s="10">
        <v>11</v>
      </c>
      <c r="N8" s="10"/>
      <c r="O8" s="10">
        <v>13</v>
      </c>
      <c r="P8" s="10"/>
      <c r="Q8" s="10">
        <v>14</v>
      </c>
      <c r="R8" s="10"/>
      <c r="S8" s="13">
        <v>46035</v>
      </c>
      <c r="T8" s="10" t="s">
        <v>53</v>
      </c>
      <c r="U8" s="10" t="s">
        <v>53</v>
      </c>
    </row>
    <row r="9" spans="1:21" x14ac:dyDescent="0.25">
      <c r="A9" s="1" t="s">
        <v>79</v>
      </c>
      <c r="B9" s="10">
        <v>743</v>
      </c>
      <c r="C9" s="10">
        <v>9205</v>
      </c>
      <c r="D9" s="19">
        <f t="shared" si="0"/>
        <v>270</v>
      </c>
      <c r="E9" s="10">
        <v>36</v>
      </c>
      <c r="F9" s="10"/>
      <c r="G9" s="10">
        <v>44</v>
      </c>
      <c r="H9" s="10"/>
      <c r="I9" s="10">
        <v>50</v>
      </c>
      <c r="J9" s="10"/>
      <c r="K9" s="10">
        <v>35</v>
      </c>
      <c r="L9" s="10"/>
      <c r="M9" s="10">
        <v>36</v>
      </c>
      <c r="N9" s="10"/>
      <c r="O9" s="10">
        <v>33</v>
      </c>
      <c r="P9" s="10"/>
      <c r="Q9" s="10">
        <v>36</v>
      </c>
      <c r="R9" s="10"/>
      <c r="S9" s="13">
        <v>46035</v>
      </c>
      <c r="T9" s="10" t="s">
        <v>53</v>
      </c>
      <c r="U9" s="10" t="s">
        <v>53</v>
      </c>
    </row>
    <row r="10" spans="1:21" x14ac:dyDescent="0.25">
      <c r="A10" s="1" t="s">
        <v>74</v>
      </c>
      <c r="B10" s="2">
        <v>744</v>
      </c>
      <c r="C10" s="2">
        <v>9215</v>
      </c>
      <c r="D10" s="19">
        <f t="shared" si="0"/>
        <v>28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2</v>
      </c>
      <c r="M10" s="2">
        <v>2</v>
      </c>
      <c r="N10" s="2">
        <v>2</v>
      </c>
      <c r="O10" s="2">
        <v>2</v>
      </c>
      <c r="P10" s="2">
        <v>2</v>
      </c>
      <c r="Q10" s="2">
        <v>2</v>
      </c>
      <c r="R10" s="2">
        <v>2</v>
      </c>
      <c r="S10" s="3">
        <v>46036</v>
      </c>
      <c r="T10" s="2" t="s">
        <v>25</v>
      </c>
      <c r="U10" s="2"/>
    </row>
    <row r="11" spans="1:21" x14ac:dyDescent="0.25">
      <c r="A11" s="1" t="s">
        <v>74</v>
      </c>
      <c r="B11" s="2">
        <v>745</v>
      </c>
      <c r="C11" s="2">
        <v>1002</v>
      </c>
      <c r="D11" s="19">
        <f t="shared" si="0"/>
        <v>14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3">
        <v>46036</v>
      </c>
      <c r="T11" s="2"/>
      <c r="U11" s="2"/>
    </row>
    <row r="12" spans="1:21" x14ac:dyDescent="0.25">
      <c r="A12" s="1" t="s">
        <v>74</v>
      </c>
      <c r="B12" s="2">
        <v>746</v>
      </c>
      <c r="C12" s="2">
        <v>9215</v>
      </c>
      <c r="D12" s="19">
        <f t="shared" si="0"/>
        <v>14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3">
        <v>46036</v>
      </c>
      <c r="T12" s="2" t="s">
        <v>25</v>
      </c>
      <c r="U12" s="2"/>
    </row>
    <row r="13" spans="1:21" x14ac:dyDescent="0.25">
      <c r="A13" s="1" t="s">
        <v>74</v>
      </c>
      <c r="B13" s="2">
        <v>747</v>
      </c>
      <c r="C13" s="2">
        <v>9218</v>
      </c>
      <c r="D13" s="19">
        <f t="shared" si="0"/>
        <v>42</v>
      </c>
      <c r="E13" s="2">
        <v>3</v>
      </c>
      <c r="F13" s="2">
        <v>3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3</v>
      </c>
      <c r="M13" s="2">
        <v>3</v>
      </c>
      <c r="N13" s="2">
        <v>3</v>
      </c>
      <c r="O13" s="2">
        <v>3</v>
      </c>
      <c r="P13" s="2">
        <v>3</v>
      </c>
      <c r="Q13" s="2">
        <v>3</v>
      </c>
      <c r="R13" s="2">
        <v>3</v>
      </c>
      <c r="S13" s="3">
        <v>46037</v>
      </c>
      <c r="T13" s="2" t="s">
        <v>23</v>
      </c>
      <c r="U13" s="2"/>
    </row>
    <row r="14" spans="1:21" x14ac:dyDescent="0.25">
      <c r="A14" s="1" t="s">
        <v>74</v>
      </c>
      <c r="B14" s="2">
        <v>748</v>
      </c>
      <c r="C14" s="2">
        <v>9215</v>
      </c>
      <c r="D14" s="19">
        <f t="shared" si="0"/>
        <v>42</v>
      </c>
      <c r="E14" s="2">
        <v>3</v>
      </c>
      <c r="F14" s="2">
        <v>3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 s="2">
        <v>3</v>
      </c>
      <c r="R14" s="2">
        <v>3</v>
      </c>
      <c r="S14" s="3">
        <v>46037</v>
      </c>
      <c r="T14" s="2" t="s">
        <v>25</v>
      </c>
      <c r="U14" s="2" t="s">
        <v>25</v>
      </c>
    </row>
    <row r="15" spans="1:21" x14ac:dyDescent="0.25">
      <c r="A15" s="1" t="s">
        <v>74</v>
      </c>
      <c r="B15" s="2">
        <v>749</v>
      </c>
      <c r="C15" s="2">
        <v>9209</v>
      </c>
      <c r="D15" s="19">
        <f t="shared" si="0"/>
        <v>42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2">
        <v>3</v>
      </c>
      <c r="K15" s="2">
        <v>3</v>
      </c>
      <c r="L15" s="2">
        <v>3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  <c r="R15" s="2">
        <v>3</v>
      </c>
      <c r="S15" s="3">
        <v>46037</v>
      </c>
      <c r="T15" s="2" t="s">
        <v>53</v>
      </c>
      <c r="U15" s="2" t="s">
        <v>23</v>
      </c>
    </row>
    <row r="16" spans="1:21" x14ac:dyDescent="0.25">
      <c r="A16" s="1" t="s">
        <v>74</v>
      </c>
      <c r="B16" s="2">
        <v>750</v>
      </c>
      <c r="C16" s="2">
        <v>9210</v>
      </c>
      <c r="D16" s="19">
        <f t="shared" si="0"/>
        <v>42</v>
      </c>
      <c r="E16" s="2">
        <v>3</v>
      </c>
      <c r="F16" s="2">
        <v>3</v>
      </c>
      <c r="G16" s="2">
        <v>3</v>
      </c>
      <c r="H16" s="2">
        <v>3</v>
      </c>
      <c r="I16" s="2">
        <v>3</v>
      </c>
      <c r="J16" s="2">
        <v>3</v>
      </c>
      <c r="K16" s="2">
        <v>3</v>
      </c>
      <c r="L16" s="2">
        <v>3</v>
      </c>
      <c r="M16" s="2">
        <v>3</v>
      </c>
      <c r="N16" s="2">
        <v>3</v>
      </c>
      <c r="O16" s="2">
        <v>3</v>
      </c>
      <c r="P16" s="2">
        <v>3</v>
      </c>
      <c r="Q16" s="2">
        <v>3</v>
      </c>
      <c r="R16" s="2">
        <v>3</v>
      </c>
      <c r="S16" s="3">
        <v>46037</v>
      </c>
      <c r="T16" s="2"/>
      <c r="U16" s="2"/>
    </row>
    <row r="17" spans="1:21" x14ac:dyDescent="0.25">
      <c r="A17" s="1" t="s">
        <v>74</v>
      </c>
      <c r="B17" s="2">
        <v>751</v>
      </c>
      <c r="C17" s="2">
        <v>9231</v>
      </c>
      <c r="D17" s="19">
        <f t="shared" si="0"/>
        <v>48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5</v>
      </c>
      <c r="L17" s="2">
        <v>4</v>
      </c>
      <c r="M17" s="2">
        <v>5</v>
      </c>
      <c r="N17" s="2">
        <v>4</v>
      </c>
      <c r="O17" s="2">
        <v>5</v>
      </c>
      <c r="P17" s="2">
        <v>4</v>
      </c>
      <c r="Q17" s="2">
        <v>5</v>
      </c>
      <c r="R17" s="2">
        <v>4</v>
      </c>
      <c r="S17" s="3">
        <v>46037</v>
      </c>
      <c r="T17" s="2" t="s">
        <v>25</v>
      </c>
      <c r="U17" s="2" t="s">
        <v>25</v>
      </c>
    </row>
    <row r="18" spans="1:21" x14ac:dyDescent="0.25">
      <c r="A18" s="1" t="s">
        <v>85</v>
      </c>
      <c r="B18" s="2">
        <v>752</v>
      </c>
      <c r="C18" s="2">
        <v>9201</v>
      </c>
      <c r="D18" s="19">
        <f t="shared" si="0"/>
        <v>14</v>
      </c>
      <c r="E18" s="2">
        <v>2</v>
      </c>
      <c r="F18" s="2"/>
      <c r="G18" s="2">
        <v>2</v>
      </c>
      <c r="H18" s="2"/>
      <c r="I18" s="2">
        <v>2</v>
      </c>
      <c r="J18" s="2"/>
      <c r="K18" s="2">
        <v>2</v>
      </c>
      <c r="L18" s="2"/>
      <c r="M18" s="2">
        <v>2</v>
      </c>
      <c r="N18" s="2"/>
      <c r="O18" s="2">
        <v>2</v>
      </c>
      <c r="P18" s="2"/>
      <c r="Q18" s="2">
        <v>2</v>
      </c>
      <c r="R18" s="2"/>
      <c r="S18" s="3">
        <v>46069</v>
      </c>
      <c r="T18" s="2" t="s">
        <v>23</v>
      </c>
      <c r="U18" s="2"/>
    </row>
    <row r="19" spans="1:21" x14ac:dyDescent="0.25">
      <c r="A19" s="1" t="s">
        <v>85</v>
      </c>
      <c r="B19" s="2">
        <v>753</v>
      </c>
      <c r="C19" s="2">
        <v>9220</v>
      </c>
      <c r="D19" s="19">
        <f t="shared" si="0"/>
        <v>14</v>
      </c>
      <c r="E19" s="2">
        <v>2</v>
      </c>
      <c r="F19" s="2"/>
      <c r="G19" s="2">
        <v>2</v>
      </c>
      <c r="H19" s="2"/>
      <c r="I19" s="2">
        <v>2</v>
      </c>
      <c r="J19" s="2"/>
      <c r="K19" s="2">
        <v>2</v>
      </c>
      <c r="L19" s="2"/>
      <c r="M19" s="2">
        <v>2</v>
      </c>
      <c r="N19" s="2"/>
      <c r="O19" s="2">
        <v>2</v>
      </c>
      <c r="P19" s="2"/>
      <c r="Q19" s="2">
        <v>2</v>
      </c>
      <c r="R19" s="2"/>
      <c r="S19" s="3">
        <v>46069</v>
      </c>
      <c r="T19" s="2" t="s">
        <v>53</v>
      </c>
      <c r="U19" s="2" t="s">
        <v>53</v>
      </c>
    </row>
    <row r="20" spans="1:21" x14ac:dyDescent="0.25">
      <c r="A20" s="1" t="s">
        <v>85</v>
      </c>
      <c r="B20" s="2">
        <v>754</v>
      </c>
      <c r="C20" s="2">
        <v>9211</v>
      </c>
      <c r="D20" s="19">
        <f t="shared" si="0"/>
        <v>14</v>
      </c>
      <c r="E20" s="2">
        <v>2</v>
      </c>
      <c r="F20" s="2"/>
      <c r="G20" s="2">
        <v>2</v>
      </c>
      <c r="H20" s="2"/>
      <c r="I20" s="2">
        <v>2</v>
      </c>
      <c r="J20" s="2"/>
      <c r="K20" s="2">
        <v>2</v>
      </c>
      <c r="L20" s="2"/>
      <c r="M20" s="2">
        <v>2</v>
      </c>
      <c r="N20" s="2"/>
      <c r="O20" s="2">
        <v>2</v>
      </c>
      <c r="P20" s="2"/>
      <c r="Q20" s="2">
        <v>2</v>
      </c>
      <c r="R20" s="2"/>
      <c r="S20" s="3">
        <v>46069</v>
      </c>
      <c r="T20" s="2" t="s">
        <v>53</v>
      </c>
      <c r="U20" s="2" t="s">
        <v>53</v>
      </c>
    </row>
    <row r="21" spans="1:21" x14ac:dyDescent="0.25">
      <c r="A21" s="1" t="s">
        <v>85</v>
      </c>
      <c r="B21" s="2">
        <v>755</v>
      </c>
      <c r="C21" s="2">
        <v>9004</v>
      </c>
      <c r="D21" s="19">
        <f t="shared" si="0"/>
        <v>14</v>
      </c>
      <c r="E21" s="2">
        <v>2</v>
      </c>
      <c r="F21" s="2"/>
      <c r="G21" s="2">
        <v>2</v>
      </c>
      <c r="H21" s="2"/>
      <c r="I21" s="2">
        <v>2</v>
      </c>
      <c r="J21" s="2"/>
      <c r="K21" s="2">
        <v>2</v>
      </c>
      <c r="L21" s="2"/>
      <c r="M21" s="2">
        <v>2</v>
      </c>
      <c r="N21" s="2"/>
      <c r="O21" s="2">
        <v>2</v>
      </c>
      <c r="P21" s="2"/>
      <c r="Q21" s="2">
        <v>2</v>
      </c>
      <c r="R21" s="2"/>
      <c r="S21" s="3">
        <v>46069</v>
      </c>
      <c r="T21" s="2"/>
      <c r="U21" s="2"/>
    </row>
    <row r="22" spans="1:21" x14ac:dyDescent="0.25">
      <c r="A22" s="1" t="s">
        <v>85</v>
      </c>
      <c r="B22" s="2">
        <v>756</v>
      </c>
      <c r="C22" s="2">
        <v>9203</v>
      </c>
      <c r="D22" s="19">
        <f t="shared" si="0"/>
        <v>14</v>
      </c>
      <c r="E22" s="2">
        <v>2</v>
      </c>
      <c r="F22" s="2"/>
      <c r="G22" s="2">
        <v>2</v>
      </c>
      <c r="H22" s="2"/>
      <c r="I22" s="2">
        <v>2</v>
      </c>
      <c r="J22" s="2"/>
      <c r="K22" s="2">
        <v>2</v>
      </c>
      <c r="L22" s="2"/>
      <c r="M22" s="2">
        <v>2</v>
      </c>
      <c r="N22" s="2"/>
      <c r="O22" s="2">
        <v>2</v>
      </c>
      <c r="P22" s="2"/>
      <c r="Q22" s="2">
        <v>2</v>
      </c>
      <c r="R22" s="2"/>
      <c r="S22" s="3">
        <v>46069</v>
      </c>
      <c r="T22" s="2" t="s">
        <v>25</v>
      </c>
      <c r="U22" s="2"/>
    </row>
    <row r="23" spans="1:21" x14ac:dyDescent="0.25">
      <c r="A23" s="1" t="s">
        <v>85</v>
      </c>
      <c r="B23" s="2">
        <v>757</v>
      </c>
      <c r="C23" s="2">
        <v>9210</v>
      </c>
      <c r="D23" s="19">
        <f t="shared" si="0"/>
        <v>14</v>
      </c>
      <c r="E23" s="2">
        <v>2</v>
      </c>
      <c r="F23" s="2"/>
      <c r="G23" s="2">
        <v>2</v>
      </c>
      <c r="H23" s="2"/>
      <c r="I23" s="2">
        <v>2</v>
      </c>
      <c r="J23" s="2"/>
      <c r="K23" s="2">
        <v>2</v>
      </c>
      <c r="L23" s="2"/>
      <c r="M23" s="2">
        <v>2</v>
      </c>
      <c r="N23" s="2"/>
      <c r="O23" s="2">
        <v>2</v>
      </c>
      <c r="P23" s="2"/>
      <c r="Q23" s="2">
        <v>2</v>
      </c>
      <c r="R23" s="2"/>
      <c r="S23" s="3">
        <v>46069</v>
      </c>
      <c r="T23" s="2"/>
      <c r="U23" s="2"/>
    </row>
    <row r="24" spans="1:21" x14ac:dyDescent="0.25">
      <c r="A24" s="1" t="s">
        <v>45</v>
      </c>
      <c r="B24" s="2">
        <v>758</v>
      </c>
      <c r="C24" s="2">
        <v>9240</v>
      </c>
      <c r="D24" s="19">
        <f t="shared" si="0"/>
        <v>48</v>
      </c>
      <c r="E24" s="2">
        <v>2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>
        <v>5</v>
      </c>
      <c r="L24" s="2">
        <v>4</v>
      </c>
      <c r="M24" s="2">
        <v>5</v>
      </c>
      <c r="N24" s="2">
        <v>4</v>
      </c>
      <c r="O24" s="2">
        <v>5</v>
      </c>
      <c r="P24" s="2">
        <v>4</v>
      </c>
      <c r="Q24" s="2">
        <v>5</v>
      </c>
      <c r="R24" s="2">
        <v>4</v>
      </c>
      <c r="S24" s="3">
        <v>46038</v>
      </c>
      <c r="T24" s="2"/>
      <c r="U24" s="2"/>
    </row>
    <row r="25" spans="1:21" x14ac:dyDescent="0.25">
      <c r="A25" s="1" t="s">
        <v>29</v>
      </c>
      <c r="B25" s="2">
        <v>759</v>
      </c>
      <c r="C25" s="10">
        <v>9213</v>
      </c>
      <c r="D25" s="19">
        <f t="shared" si="0"/>
        <v>24</v>
      </c>
      <c r="E25" s="10">
        <v>2</v>
      </c>
      <c r="F25" s="10">
        <v>2</v>
      </c>
      <c r="G25" s="10">
        <v>2</v>
      </c>
      <c r="H25" s="10">
        <v>2</v>
      </c>
      <c r="I25" s="10">
        <v>2</v>
      </c>
      <c r="J25" s="10">
        <v>2</v>
      </c>
      <c r="K25" s="10">
        <v>2</v>
      </c>
      <c r="L25" s="10">
        <v>1</v>
      </c>
      <c r="M25" s="10">
        <v>2</v>
      </c>
      <c r="N25" s="10">
        <v>1</v>
      </c>
      <c r="O25" s="10">
        <v>2</v>
      </c>
      <c r="P25" s="10">
        <v>1</v>
      </c>
      <c r="Q25" s="10">
        <v>2</v>
      </c>
      <c r="R25" s="10">
        <v>1</v>
      </c>
      <c r="S25" s="3">
        <v>46007</v>
      </c>
      <c r="T25" s="10" t="s">
        <v>53</v>
      </c>
      <c r="U25" s="10"/>
    </row>
    <row r="26" spans="1:21" x14ac:dyDescent="0.25">
      <c r="A26" s="1" t="s">
        <v>29</v>
      </c>
      <c r="B26" s="2">
        <v>760</v>
      </c>
      <c r="C26" s="10">
        <v>9213</v>
      </c>
      <c r="D26" s="19">
        <f t="shared" si="0"/>
        <v>24</v>
      </c>
      <c r="E26" s="10">
        <v>2</v>
      </c>
      <c r="F26" s="10">
        <v>2</v>
      </c>
      <c r="G26" s="10">
        <v>2</v>
      </c>
      <c r="H26" s="10">
        <v>2</v>
      </c>
      <c r="I26" s="10">
        <v>2</v>
      </c>
      <c r="J26" s="10">
        <v>2</v>
      </c>
      <c r="K26" s="10">
        <v>2</v>
      </c>
      <c r="L26" s="10">
        <v>1</v>
      </c>
      <c r="M26" s="10">
        <v>2</v>
      </c>
      <c r="N26" s="10">
        <v>1</v>
      </c>
      <c r="O26" s="10">
        <v>2</v>
      </c>
      <c r="P26" s="10">
        <v>1</v>
      </c>
      <c r="Q26" s="10">
        <v>2</v>
      </c>
      <c r="R26" s="10">
        <v>1</v>
      </c>
      <c r="S26" s="3">
        <v>45977</v>
      </c>
      <c r="T26" s="10" t="s">
        <v>53</v>
      </c>
      <c r="U26" s="10"/>
    </row>
    <row r="27" spans="1:21" x14ac:dyDescent="0.25">
      <c r="A27" s="1" t="s">
        <v>29</v>
      </c>
      <c r="B27" s="2">
        <v>761</v>
      </c>
      <c r="C27" s="10">
        <v>9213</v>
      </c>
      <c r="D27" s="19">
        <f t="shared" si="0"/>
        <v>24</v>
      </c>
      <c r="E27" s="10">
        <v>2</v>
      </c>
      <c r="F27" s="10">
        <v>2</v>
      </c>
      <c r="G27" s="10">
        <v>2</v>
      </c>
      <c r="H27" s="10">
        <v>2</v>
      </c>
      <c r="I27" s="10">
        <v>2</v>
      </c>
      <c r="J27" s="10">
        <v>2</v>
      </c>
      <c r="K27" s="10">
        <v>2</v>
      </c>
      <c r="L27" s="10">
        <v>1</v>
      </c>
      <c r="M27" s="10">
        <v>2</v>
      </c>
      <c r="N27" s="10">
        <v>1</v>
      </c>
      <c r="O27" s="10">
        <v>2</v>
      </c>
      <c r="P27" s="10">
        <v>1</v>
      </c>
      <c r="Q27" s="10">
        <v>2</v>
      </c>
      <c r="R27" s="10">
        <v>1</v>
      </c>
      <c r="S27" s="3">
        <v>45946</v>
      </c>
      <c r="T27" s="10"/>
      <c r="U27" s="10"/>
    </row>
    <row r="28" spans="1:21" x14ac:dyDescent="0.25">
      <c r="A28" s="1" t="s">
        <v>29</v>
      </c>
      <c r="B28" s="2">
        <v>762</v>
      </c>
      <c r="C28" s="10">
        <v>9213</v>
      </c>
      <c r="D28" s="19">
        <f t="shared" si="0"/>
        <v>24</v>
      </c>
      <c r="E28" s="10">
        <v>2</v>
      </c>
      <c r="F28" s="10">
        <v>2</v>
      </c>
      <c r="G28" s="10">
        <v>2</v>
      </c>
      <c r="H28" s="10">
        <v>2</v>
      </c>
      <c r="I28" s="10">
        <v>2</v>
      </c>
      <c r="J28" s="10">
        <v>2</v>
      </c>
      <c r="K28" s="10">
        <v>2</v>
      </c>
      <c r="L28" s="10">
        <v>1</v>
      </c>
      <c r="M28" s="10">
        <v>2</v>
      </c>
      <c r="N28" s="10">
        <v>1</v>
      </c>
      <c r="O28" s="10">
        <v>2</v>
      </c>
      <c r="P28" s="10">
        <v>1</v>
      </c>
      <c r="Q28" s="10">
        <v>2</v>
      </c>
      <c r="R28" s="10">
        <v>1</v>
      </c>
      <c r="S28" s="3">
        <v>45916</v>
      </c>
      <c r="T28" s="10"/>
      <c r="U28" s="10"/>
    </row>
    <row r="29" spans="1:21" x14ac:dyDescent="0.25">
      <c r="A29" s="1" t="s">
        <v>29</v>
      </c>
      <c r="B29" s="2">
        <v>763</v>
      </c>
      <c r="C29" s="10">
        <v>9213</v>
      </c>
      <c r="D29" s="19">
        <f t="shared" si="0"/>
        <v>24</v>
      </c>
      <c r="E29" s="10">
        <v>2</v>
      </c>
      <c r="F29" s="10">
        <v>2</v>
      </c>
      <c r="G29" s="10">
        <v>2</v>
      </c>
      <c r="H29" s="10">
        <v>2</v>
      </c>
      <c r="I29" s="10">
        <v>2</v>
      </c>
      <c r="J29" s="10">
        <v>2</v>
      </c>
      <c r="K29" s="10">
        <v>2</v>
      </c>
      <c r="L29" s="10">
        <v>1</v>
      </c>
      <c r="M29" s="10">
        <v>2</v>
      </c>
      <c r="N29" s="10">
        <v>1</v>
      </c>
      <c r="O29" s="10">
        <v>2</v>
      </c>
      <c r="P29" s="10">
        <v>1</v>
      </c>
      <c r="Q29" s="10">
        <v>2</v>
      </c>
      <c r="R29" s="10">
        <v>1</v>
      </c>
      <c r="S29" s="3">
        <v>45885</v>
      </c>
      <c r="T29" s="10" t="s">
        <v>53</v>
      </c>
      <c r="U29" s="10"/>
    </row>
    <row r="30" spans="1:21" x14ac:dyDescent="0.25">
      <c r="A30" s="1" t="s">
        <v>29</v>
      </c>
      <c r="B30" s="2">
        <v>764</v>
      </c>
      <c r="C30" s="10">
        <v>9213</v>
      </c>
      <c r="D30" s="19">
        <f t="shared" si="0"/>
        <v>24</v>
      </c>
      <c r="E30" s="10">
        <v>2</v>
      </c>
      <c r="F30" s="10">
        <v>2</v>
      </c>
      <c r="G30" s="10">
        <v>2</v>
      </c>
      <c r="H30" s="10">
        <v>2</v>
      </c>
      <c r="I30" s="10">
        <v>2</v>
      </c>
      <c r="J30" s="10">
        <v>2</v>
      </c>
      <c r="K30" s="10">
        <v>2</v>
      </c>
      <c r="L30" s="10">
        <v>1</v>
      </c>
      <c r="M30" s="10">
        <v>2</v>
      </c>
      <c r="N30" s="10">
        <v>1</v>
      </c>
      <c r="O30" s="10">
        <v>2</v>
      </c>
      <c r="P30" s="10">
        <v>1</v>
      </c>
      <c r="Q30" s="10">
        <v>2</v>
      </c>
      <c r="R30" s="10">
        <v>1</v>
      </c>
      <c r="S30" s="3">
        <v>45854</v>
      </c>
      <c r="T30" s="10" t="s">
        <v>59</v>
      </c>
      <c r="U30" s="10"/>
    </row>
    <row r="31" spans="1:21" x14ac:dyDescent="0.25">
      <c r="A31" s="1" t="s">
        <v>29</v>
      </c>
      <c r="B31" s="2">
        <v>765</v>
      </c>
      <c r="C31" s="10">
        <v>9213</v>
      </c>
      <c r="D31" s="19">
        <f t="shared" si="0"/>
        <v>24</v>
      </c>
      <c r="E31" s="10">
        <v>2</v>
      </c>
      <c r="F31" s="10">
        <v>2</v>
      </c>
      <c r="G31" s="10">
        <v>2</v>
      </c>
      <c r="H31" s="10">
        <v>2</v>
      </c>
      <c r="I31" s="10">
        <v>2</v>
      </c>
      <c r="J31" s="10">
        <v>2</v>
      </c>
      <c r="K31" s="10">
        <v>2</v>
      </c>
      <c r="L31" s="10">
        <v>1</v>
      </c>
      <c r="M31" s="10">
        <v>2</v>
      </c>
      <c r="N31" s="10">
        <v>1</v>
      </c>
      <c r="O31" s="10">
        <v>2</v>
      </c>
      <c r="P31" s="10">
        <v>1</v>
      </c>
      <c r="Q31" s="10">
        <v>2</v>
      </c>
      <c r="R31" s="10">
        <v>1</v>
      </c>
      <c r="S31" s="3">
        <v>45824</v>
      </c>
      <c r="T31" s="10"/>
      <c r="U31" s="10"/>
    </row>
    <row r="32" spans="1:21" x14ac:dyDescent="0.25">
      <c r="A32" s="1" t="s">
        <v>29</v>
      </c>
      <c r="B32" s="2">
        <v>766</v>
      </c>
      <c r="C32" s="10">
        <v>9213</v>
      </c>
      <c r="D32" s="19">
        <f t="shared" si="0"/>
        <v>24</v>
      </c>
      <c r="E32" s="10">
        <v>2</v>
      </c>
      <c r="F32" s="10">
        <v>2</v>
      </c>
      <c r="G32" s="10">
        <v>2</v>
      </c>
      <c r="H32" s="10">
        <v>2</v>
      </c>
      <c r="I32" s="10">
        <v>2</v>
      </c>
      <c r="J32" s="10">
        <v>2</v>
      </c>
      <c r="K32" s="10">
        <v>2</v>
      </c>
      <c r="L32" s="10">
        <v>1</v>
      </c>
      <c r="M32" s="10">
        <v>2</v>
      </c>
      <c r="N32" s="10">
        <v>1</v>
      </c>
      <c r="O32" s="10">
        <v>2</v>
      </c>
      <c r="P32" s="10">
        <v>1</v>
      </c>
      <c r="Q32" s="10">
        <v>2</v>
      </c>
      <c r="R32" s="10">
        <v>1</v>
      </c>
      <c r="S32" s="3">
        <v>45793</v>
      </c>
      <c r="T32" s="10" t="s">
        <v>53</v>
      </c>
      <c r="U32" s="10"/>
    </row>
    <row r="33" spans="1:21" x14ac:dyDescent="0.25">
      <c r="A33" s="1" t="s">
        <v>74</v>
      </c>
      <c r="B33" s="2">
        <v>767</v>
      </c>
      <c r="C33" s="10">
        <v>9213</v>
      </c>
      <c r="D33" s="19">
        <f t="shared" si="0"/>
        <v>24</v>
      </c>
      <c r="E33" s="10">
        <v>2</v>
      </c>
      <c r="F33" s="10">
        <v>2</v>
      </c>
      <c r="G33" s="10">
        <v>2</v>
      </c>
      <c r="H33" s="10">
        <v>2</v>
      </c>
      <c r="I33" s="10">
        <v>2</v>
      </c>
      <c r="J33" s="10">
        <v>2</v>
      </c>
      <c r="K33" s="10">
        <v>2</v>
      </c>
      <c r="L33" s="10">
        <v>1</v>
      </c>
      <c r="M33" s="10">
        <v>2</v>
      </c>
      <c r="N33" s="10">
        <v>1</v>
      </c>
      <c r="O33" s="10">
        <v>2</v>
      </c>
      <c r="P33" s="10">
        <v>1</v>
      </c>
      <c r="Q33" s="10">
        <v>2</v>
      </c>
      <c r="R33" s="10">
        <v>1</v>
      </c>
      <c r="S33" s="3">
        <v>45763</v>
      </c>
      <c r="T33" s="10" t="s">
        <v>23</v>
      </c>
      <c r="U33" s="10"/>
    </row>
    <row r="34" spans="1:21" x14ac:dyDescent="0.25">
      <c r="A34" s="1" t="s">
        <v>74</v>
      </c>
      <c r="B34" s="2">
        <v>768</v>
      </c>
      <c r="C34" s="10">
        <v>9213</v>
      </c>
      <c r="D34" s="19">
        <f t="shared" si="0"/>
        <v>24</v>
      </c>
      <c r="E34" s="10">
        <v>2</v>
      </c>
      <c r="F34" s="10">
        <v>2</v>
      </c>
      <c r="G34" s="10">
        <v>2</v>
      </c>
      <c r="H34" s="10">
        <v>2</v>
      </c>
      <c r="I34" s="10">
        <v>2</v>
      </c>
      <c r="J34" s="10">
        <v>2</v>
      </c>
      <c r="K34" s="10">
        <v>2</v>
      </c>
      <c r="L34" s="10">
        <v>1</v>
      </c>
      <c r="M34" s="10">
        <v>2</v>
      </c>
      <c r="N34" s="10">
        <v>1</v>
      </c>
      <c r="O34" s="10">
        <v>2</v>
      </c>
      <c r="P34" s="10">
        <v>1</v>
      </c>
      <c r="Q34" s="10">
        <v>2</v>
      </c>
      <c r="R34" s="10">
        <v>1</v>
      </c>
      <c r="S34" s="3">
        <v>45732</v>
      </c>
      <c r="T34" s="10" t="s">
        <v>23</v>
      </c>
      <c r="U34" s="10"/>
    </row>
    <row r="35" spans="1:21" x14ac:dyDescent="0.25">
      <c r="A35" s="1" t="s">
        <v>74</v>
      </c>
      <c r="B35" s="2">
        <v>769</v>
      </c>
      <c r="C35" s="10">
        <v>9213</v>
      </c>
      <c r="D35" s="19">
        <f t="shared" si="0"/>
        <v>24</v>
      </c>
      <c r="E35" s="10">
        <v>2</v>
      </c>
      <c r="F35" s="10">
        <v>2</v>
      </c>
      <c r="G35" s="10">
        <v>2</v>
      </c>
      <c r="H35" s="10">
        <v>2</v>
      </c>
      <c r="I35" s="10">
        <v>2</v>
      </c>
      <c r="J35" s="10">
        <v>2</v>
      </c>
      <c r="K35" s="10">
        <v>2</v>
      </c>
      <c r="L35" s="10">
        <v>1</v>
      </c>
      <c r="M35" s="10">
        <v>2</v>
      </c>
      <c r="N35" s="10">
        <v>1</v>
      </c>
      <c r="O35" s="10">
        <v>2</v>
      </c>
      <c r="P35" s="10">
        <v>1</v>
      </c>
      <c r="Q35" s="10">
        <v>2</v>
      </c>
      <c r="R35" s="10">
        <v>1</v>
      </c>
      <c r="S35" s="3">
        <v>45704</v>
      </c>
      <c r="T35" s="10"/>
      <c r="U35" s="10"/>
    </row>
    <row r="36" spans="1:21" x14ac:dyDescent="0.25">
      <c r="A36" s="1" t="s">
        <v>74</v>
      </c>
      <c r="B36" s="2">
        <v>770</v>
      </c>
      <c r="C36" s="10">
        <v>9213</v>
      </c>
      <c r="D36" s="19">
        <f t="shared" si="0"/>
        <v>24</v>
      </c>
      <c r="E36" s="10">
        <v>2</v>
      </c>
      <c r="F36" s="10">
        <v>2</v>
      </c>
      <c r="G36" s="10">
        <v>2</v>
      </c>
      <c r="H36" s="10">
        <v>2</v>
      </c>
      <c r="I36" s="10">
        <v>2</v>
      </c>
      <c r="J36" s="10">
        <v>2</v>
      </c>
      <c r="K36" s="10">
        <v>2</v>
      </c>
      <c r="L36" s="10">
        <v>1</v>
      </c>
      <c r="M36" s="10">
        <v>2</v>
      </c>
      <c r="N36" s="10">
        <v>1</v>
      </c>
      <c r="O36" s="10">
        <v>2</v>
      </c>
      <c r="P36" s="10">
        <v>1</v>
      </c>
      <c r="Q36" s="10">
        <v>2</v>
      </c>
      <c r="R36" s="10">
        <v>1</v>
      </c>
      <c r="S36" s="3">
        <v>45673</v>
      </c>
      <c r="T36" s="10"/>
      <c r="U36" s="10"/>
    </row>
    <row r="37" spans="1:21" x14ac:dyDescent="0.25">
      <c r="A37" s="1" t="s">
        <v>74</v>
      </c>
      <c r="B37" s="2">
        <v>771</v>
      </c>
      <c r="C37" s="10">
        <v>9213</v>
      </c>
      <c r="D37" s="19">
        <f t="shared" si="0"/>
        <v>24</v>
      </c>
      <c r="E37" s="10">
        <v>2</v>
      </c>
      <c r="F37" s="10">
        <v>2</v>
      </c>
      <c r="G37" s="10">
        <v>2</v>
      </c>
      <c r="H37" s="10">
        <v>2</v>
      </c>
      <c r="I37" s="10">
        <v>2</v>
      </c>
      <c r="J37" s="10">
        <v>2</v>
      </c>
      <c r="K37" s="10">
        <v>2</v>
      </c>
      <c r="L37" s="10">
        <v>1</v>
      </c>
      <c r="M37" s="10">
        <v>2</v>
      </c>
      <c r="N37" s="10">
        <v>1</v>
      </c>
      <c r="O37" s="10">
        <v>2</v>
      </c>
      <c r="P37" s="10">
        <v>1</v>
      </c>
      <c r="Q37" s="10">
        <v>2</v>
      </c>
      <c r="R37" s="10">
        <v>1</v>
      </c>
      <c r="S37" s="3">
        <v>45642</v>
      </c>
      <c r="T37" s="10" t="s">
        <v>53</v>
      </c>
      <c r="U37" s="10"/>
    </row>
    <row r="38" spans="1:21" x14ac:dyDescent="0.25">
      <c r="A38" s="1" t="s">
        <v>74</v>
      </c>
      <c r="B38" s="2">
        <v>772</v>
      </c>
      <c r="C38" s="10">
        <v>9213</v>
      </c>
      <c r="D38" s="19">
        <f t="shared" si="0"/>
        <v>24</v>
      </c>
      <c r="E38" s="10">
        <v>2</v>
      </c>
      <c r="F38" s="10">
        <v>2</v>
      </c>
      <c r="G38" s="10">
        <v>2</v>
      </c>
      <c r="H38" s="10">
        <v>2</v>
      </c>
      <c r="I38" s="10">
        <v>2</v>
      </c>
      <c r="J38" s="10">
        <v>2</v>
      </c>
      <c r="K38" s="10">
        <v>2</v>
      </c>
      <c r="L38" s="10">
        <v>1</v>
      </c>
      <c r="M38" s="10">
        <v>2</v>
      </c>
      <c r="N38" s="10">
        <v>1</v>
      </c>
      <c r="O38" s="10">
        <v>2</v>
      </c>
      <c r="P38" s="10">
        <v>1</v>
      </c>
      <c r="Q38" s="10">
        <v>2</v>
      </c>
      <c r="R38" s="10">
        <v>1</v>
      </c>
      <c r="S38" s="3">
        <v>45612</v>
      </c>
      <c r="T38" s="10" t="s">
        <v>59</v>
      </c>
      <c r="U38" s="10"/>
    </row>
    <row r="39" spans="1:21" x14ac:dyDescent="0.25">
      <c r="A39" s="1" t="s">
        <v>74</v>
      </c>
      <c r="B39" s="2">
        <v>773</v>
      </c>
      <c r="C39" s="10">
        <v>9213</v>
      </c>
      <c r="D39" s="19">
        <f t="shared" si="0"/>
        <v>24</v>
      </c>
      <c r="E39" s="10">
        <v>2</v>
      </c>
      <c r="F39" s="10">
        <v>2</v>
      </c>
      <c r="G39" s="10">
        <v>2</v>
      </c>
      <c r="H39" s="10">
        <v>2</v>
      </c>
      <c r="I39" s="10">
        <v>2</v>
      </c>
      <c r="J39" s="10">
        <v>2</v>
      </c>
      <c r="K39" s="10">
        <v>2</v>
      </c>
      <c r="L39" s="10">
        <v>1</v>
      </c>
      <c r="M39" s="10">
        <v>2</v>
      </c>
      <c r="N39" s="10">
        <v>1</v>
      </c>
      <c r="O39" s="10">
        <v>2</v>
      </c>
      <c r="P39" s="10">
        <v>1</v>
      </c>
      <c r="Q39" s="10">
        <v>2</v>
      </c>
      <c r="R39" s="10">
        <v>1</v>
      </c>
      <c r="S39" s="3">
        <v>45581</v>
      </c>
      <c r="T39" s="10" t="s">
        <v>53</v>
      </c>
      <c r="U39" s="10"/>
    </row>
    <row r="40" spans="1:21" x14ac:dyDescent="0.25">
      <c r="A40" s="1" t="s">
        <v>74</v>
      </c>
      <c r="B40" s="2">
        <v>774</v>
      </c>
      <c r="C40" s="10">
        <v>9213</v>
      </c>
      <c r="D40" s="19">
        <f t="shared" si="0"/>
        <v>24</v>
      </c>
      <c r="E40" s="10">
        <v>2</v>
      </c>
      <c r="F40" s="10">
        <v>2</v>
      </c>
      <c r="G40" s="10">
        <v>2</v>
      </c>
      <c r="H40" s="10">
        <v>2</v>
      </c>
      <c r="I40" s="10">
        <v>2</v>
      </c>
      <c r="J40" s="10">
        <v>2</v>
      </c>
      <c r="K40" s="10">
        <v>2</v>
      </c>
      <c r="L40" s="10">
        <v>1</v>
      </c>
      <c r="M40" s="10">
        <v>2</v>
      </c>
      <c r="N40" s="10">
        <v>1</v>
      </c>
      <c r="O40" s="10">
        <v>2</v>
      </c>
      <c r="P40" s="10">
        <v>1</v>
      </c>
      <c r="Q40" s="10">
        <v>2</v>
      </c>
      <c r="R40" s="10">
        <v>1</v>
      </c>
      <c r="S40" s="3">
        <v>45551</v>
      </c>
      <c r="T40" s="10" t="s">
        <v>53</v>
      </c>
      <c r="U40" s="10"/>
    </row>
    <row r="41" spans="1:21" x14ac:dyDescent="0.25">
      <c r="A41" s="1" t="s">
        <v>68</v>
      </c>
      <c r="B41" s="2">
        <v>775</v>
      </c>
      <c r="C41" s="10">
        <v>9213</v>
      </c>
      <c r="D41" s="19">
        <f t="shared" si="0"/>
        <v>24</v>
      </c>
      <c r="E41" s="10">
        <v>2</v>
      </c>
      <c r="F41" s="10">
        <v>2</v>
      </c>
      <c r="G41" s="10">
        <v>2</v>
      </c>
      <c r="H41" s="10">
        <v>2</v>
      </c>
      <c r="I41" s="10">
        <v>2</v>
      </c>
      <c r="J41" s="10">
        <v>2</v>
      </c>
      <c r="K41" s="10">
        <v>2</v>
      </c>
      <c r="L41" s="10">
        <v>1</v>
      </c>
      <c r="M41" s="10">
        <v>2</v>
      </c>
      <c r="N41" s="10">
        <v>1</v>
      </c>
      <c r="O41" s="10">
        <v>2</v>
      </c>
      <c r="P41" s="10">
        <v>1</v>
      </c>
      <c r="Q41" s="10">
        <v>2</v>
      </c>
      <c r="R41" s="10">
        <v>1</v>
      </c>
      <c r="S41" s="3">
        <v>45520</v>
      </c>
      <c r="T41" s="10" t="s">
        <v>59</v>
      </c>
      <c r="U41" s="10"/>
    </row>
    <row r="42" spans="1:21" x14ac:dyDescent="0.25">
      <c r="A42" s="1" t="s">
        <v>68</v>
      </c>
      <c r="B42" s="2">
        <v>776</v>
      </c>
      <c r="C42" s="10">
        <v>9213</v>
      </c>
      <c r="D42" s="19">
        <f t="shared" si="0"/>
        <v>24</v>
      </c>
      <c r="E42" s="10">
        <v>2</v>
      </c>
      <c r="F42" s="10">
        <v>2</v>
      </c>
      <c r="G42" s="10">
        <v>2</v>
      </c>
      <c r="H42" s="10">
        <v>2</v>
      </c>
      <c r="I42" s="10">
        <v>2</v>
      </c>
      <c r="J42" s="10">
        <v>2</v>
      </c>
      <c r="K42" s="10">
        <v>2</v>
      </c>
      <c r="L42" s="10">
        <v>1</v>
      </c>
      <c r="M42" s="10">
        <v>2</v>
      </c>
      <c r="N42" s="10">
        <v>1</v>
      </c>
      <c r="O42" s="10">
        <v>2</v>
      </c>
      <c r="P42" s="10">
        <v>1</v>
      </c>
      <c r="Q42" s="10">
        <v>2</v>
      </c>
      <c r="R42" s="10">
        <v>1</v>
      </c>
      <c r="S42" s="3">
        <v>45489</v>
      </c>
      <c r="T42" s="10" t="s">
        <v>59</v>
      </c>
      <c r="U42" s="10"/>
    </row>
    <row r="43" spans="1:21" x14ac:dyDescent="0.25">
      <c r="A43" s="1" t="s">
        <v>68</v>
      </c>
      <c r="B43" s="2">
        <v>777</v>
      </c>
      <c r="C43" s="10">
        <v>9213</v>
      </c>
      <c r="D43" s="19">
        <f t="shared" si="0"/>
        <v>24</v>
      </c>
      <c r="E43" s="10">
        <v>2</v>
      </c>
      <c r="F43" s="10">
        <v>2</v>
      </c>
      <c r="G43" s="10">
        <v>2</v>
      </c>
      <c r="H43" s="10">
        <v>2</v>
      </c>
      <c r="I43" s="10">
        <v>2</v>
      </c>
      <c r="J43" s="10">
        <v>2</v>
      </c>
      <c r="K43" s="10">
        <v>2</v>
      </c>
      <c r="L43" s="10">
        <v>1</v>
      </c>
      <c r="M43" s="10">
        <v>2</v>
      </c>
      <c r="N43" s="10">
        <v>1</v>
      </c>
      <c r="O43" s="10">
        <v>2</v>
      </c>
      <c r="P43" s="10">
        <v>1</v>
      </c>
      <c r="Q43" s="10">
        <v>2</v>
      </c>
      <c r="R43" s="10">
        <v>1</v>
      </c>
      <c r="S43" s="3">
        <v>45459</v>
      </c>
      <c r="T43" s="10" t="s">
        <v>53</v>
      </c>
      <c r="U43" s="10"/>
    </row>
    <row r="44" spans="1:21" x14ac:dyDescent="0.25">
      <c r="A44" s="1" t="s">
        <v>68</v>
      </c>
      <c r="B44" s="2">
        <v>778</v>
      </c>
      <c r="C44" s="10">
        <v>9213</v>
      </c>
      <c r="D44" s="19">
        <f t="shared" si="0"/>
        <v>24</v>
      </c>
      <c r="E44" s="10">
        <v>2</v>
      </c>
      <c r="F44" s="10">
        <v>2</v>
      </c>
      <c r="G44" s="10">
        <v>2</v>
      </c>
      <c r="H44" s="10">
        <v>2</v>
      </c>
      <c r="I44" s="10">
        <v>2</v>
      </c>
      <c r="J44" s="10">
        <v>2</v>
      </c>
      <c r="K44" s="10">
        <v>2</v>
      </c>
      <c r="L44" s="10">
        <v>1</v>
      </c>
      <c r="M44" s="10">
        <v>2</v>
      </c>
      <c r="N44" s="10">
        <v>1</v>
      </c>
      <c r="O44" s="10">
        <v>2</v>
      </c>
      <c r="P44" s="10">
        <v>1</v>
      </c>
      <c r="Q44" s="10">
        <v>2</v>
      </c>
      <c r="R44" s="10">
        <v>1</v>
      </c>
      <c r="S44" s="3">
        <v>45428</v>
      </c>
      <c r="T44" s="10" t="s">
        <v>53</v>
      </c>
      <c r="U44" s="10"/>
    </row>
    <row r="45" spans="1:21" x14ac:dyDescent="0.25">
      <c r="A45" s="1" t="s">
        <v>68</v>
      </c>
      <c r="B45" s="2">
        <v>779</v>
      </c>
      <c r="C45" s="10">
        <v>9213</v>
      </c>
      <c r="D45" s="19">
        <f t="shared" si="0"/>
        <v>24</v>
      </c>
      <c r="E45" s="10">
        <v>2</v>
      </c>
      <c r="F45" s="10">
        <v>2</v>
      </c>
      <c r="G45" s="10">
        <v>2</v>
      </c>
      <c r="H45" s="10">
        <v>2</v>
      </c>
      <c r="I45" s="10">
        <v>2</v>
      </c>
      <c r="J45" s="10">
        <v>2</v>
      </c>
      <c r="K45" s="10">
        <v>2</v>
      </c>
      <c r="L45" s="10">
        <v>1</v>
      </c>
      <c r="M45" s="10">
        <v>2</v>
      </c>
      <c r="N45" s="10">
        <v>1</v>
      </c>
      <c r="O45" s="10">
        <v>2</v>
      </c>
      <c r="P45" s="10">
        <v>1</v>
      </c>
      <c r="Q45" s="10">
        <v>2</v>
      </c>
      <c r="R45" s="10">
        <v>1</v>
      </c>
      <c r="S45" s="3">
        <v>45398</v>
      </c>
      <c r="T45" s="10"/>
      <c r="U45" s="10"/>
    </row>
    <row r="46" spans="1:21" x14ac:dyDescent="0.25">
      <c r="A46" s="1" t="s">
        <v>68</v>
      </c>
      <c r="B46" s="2">
        <v>780</v>
      </c>
      <c r="C46" s="10">
        <v>9213</v>
      </c>
      <c r="D46" s="19">
        <f t="shared" si="0"/>
        <v>24</v>
      </c>
      <c r="E46" s="10">
        <v>2</v>
      </c>
      <c r="F46" s="10">
        <v>2</v>
      </c>
      <c r="G46" s="10">
        <v>2</v>
      </c>
      <c r="H46" s="10">
        <v>2</v>
      </c>
      <c r="I46" s="10">
        <v>2</v>
      </c>
      <c r="J46" s="10">
        <v>2</v>
      </c>
      <c r="K46" s="10">
        <v>2</v>
      </c>
      <c r="L46" s="10">
        <v>1</v>
      </c>
      <c r="M46" s="10">
        <v>2</v>
      </c>
      <c r="N46" s="10">
        <v>1</v>
      </c>
      <c r="O46" s="10">
        <v>2</v>
      </c>
      <c r="P46" s="10">
        <v>1</v>
      </c>
      <c r="Q46" s="10">
        <v>2</v>
      </c>
      <c r="R46" s="10">
        <v>1</v>
      </c>
      <c r="S46" s="3">
        <v>45367</v>
      </c>
      <c r="T46" s="10" t="s">
        <v>53</v>
      </c>
      <c r="U46" s="10"/>
    </row>
    <row r="47" spans="1:21" x14ac:dyDescent="0.25">
      <c r="A47" s="1" t="s">
        <v>68</v>
      </c>
      <c r="B47" s="2">
        <v>781</v>
      </c>
      <c r="C47" s="10">
        <v>9213</v>
      </c>
      <c r="D47" s="19">
        <f t="shared" si="0"/>
        <v>24</v>
      </c>
      <c r="E47" s="10">
        <v>2</v>
      </c>
      <c r="F47" s="10">
        <v>2</v>
      </c>
      <c r="G47" s="10">
        <v>2</v>
      </c>
      <c r="H47" s="10">
        <v>2</v>
      </c>
      <c r="I47" s="10">
        <v>2</v>
      </c>
      <c r="J47" s="10">
        <v>2</v>
      </c>
      <c r="K47" s="10">
        <v>2</v>
      </c>
      <c r="L47" s="10">
        <v>1</v>
      </c>
      <c r="M47" s="10">
        <v>2</v>
      </c>
      <c r="N47" s="10">
        <v>1</v>
      </c>
      <c r="O47" s="10">
        <v>2</v>
      </c>
      <c r="P47" s="10">
        <v>1</v>
      </c>
      <c r="Q47" s="10">
        <v>2</v>
      </c>
      <c r="R47" s="10">
        <v>1</v>
      </c>
      <c r="S47" s="3">
        <v>45338</v>
      </c>
      <c r="T47" s="10"/>
      <c r="U47" s="10"/>
    </row>
    <row r="48" spans="1:21" x14ac:dyDescent="0.25">
      <c r="A48" s="1" t="s">
        <v>68</v>
      </c>
      <c r="B48" s="2">
        <v>782</v>
      </c>
      <c r="C48" s="10">
        <v>9213</v>
      </c>
      <c r="D48" s="19">
        <f t="shared" si="0"/>
        <v>24</v>
      </c>
      <c r="E48" s="10">
        <v>2</v>
      </c>
      <c r="F48" s="10">
        <v>2</v>
      </c>
      <c r="G48" s="10">
        <v>2</v>
      </c>
      <c r="H48" s="10">
        <v>2</v>
      </c>
      <c r="I48" s="10">
        <v>2</v>
      </c>
      <c r="J48" s="10">
        <v>2</v>
      </c>
      <c r="K48" s="10">
        <v>2</v>
      </c>
      <c r="L48" s="10">
        <v>1</v>
      </c>
      <c r="M48" s="10">
        <v>2</v>
      </c>
      <c r="N48" s="10">
        <v>1</v>
      </c>
      <c r="O48" s="10">
        <v>2</v>
      </c>
      <c r="P48" s="10">
        <v>1</v>
      </c>
      <c r="Q48" s="10">
        <v>2</v>
      </c>
      <c r="R48" s="10">
        <v>1</v>
      </c>
      <c r="S48" s="3">
        <v>45307</v>
      </c>
      <c r="T48" s="10"/>
      <c r="U48" s="10" t="s">
        <v>59</v>
      </c>
    </row>
    <row r="49" spans="2:21" x14ac:dyDescent="0.25">
      <c r="B49" s="16"/>
      <c r="C49" s="16"/>
      <c r="D49" s="10">
        <f>SUM(D3:D48)</f>
        <v>1580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2:21" x14ac:dyDescent="0.25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2:21" x14ac:dyDescent="0.25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2:21" x14ac:dyDescent="0.25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2:21" x14ac:dyDescent="0.25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2:21" x14ac:dyDescent="0.25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2:21" x14ac:dyDescent="0.25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2:21" x14ac:dyDescent="0.25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2:21" x14ac:dyDescent="0.25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2:21" x14ac:dyDescent="0.25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2:21" x14ac:dyDescent="0.25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2:21" x14ac:dyDescent="0.25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2:21" x14ac:dyDescent="0.25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2:21" x14ac:dyDescent="0.25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2:21" x14ac:dyDescent="0.25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2:21" x14ac:dyDescent="0.25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2:21" x14ac:dyDescent="0.2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2:21" x14ac:dyDescent="0.25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2:21" x14ac:dyDescent="0.25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2:21" x14ac:dyDescent="0.25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2:21" x14ac:dyDescent="0.25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2:2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2:21" x14ac:dyDescent="0.25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2:2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2:21" x14ac:dyDescent="0.25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2:21" x14ac:dyDescent="0.25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2:21" x14ac:dyDescent="0.25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2:21" x14ac:dyDescent="0.25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2:21" x14ac:dyDescent="0.25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2:21" x14ac:dyDescent="0.25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2:21" x14ac:dyDescent="0.25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2:21" x14ac:dyDescent="0.25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2:21" x14ac:dyDescent="0.25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2:21" x14ac:dyDescent="0.25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spans="2:21" x14ac:dyDescent="0.25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2:21" x14ac:dyDescent="0.25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2:21" x14ac:dyDescent="0.25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spans="2:21" x14ac:dyDescent="0.25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2:21" x14ac:dyDescent="0.25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spans="2:21" x14ac:dyDescent="0.25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spans="2:21" x14ac:dyDescent="0.25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spans="2:21" x14ac:dyDescent="0.25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spans="2:21" x14ac:dyDescent="0.25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spans="2:21" x14ac:dyDescent="0.25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spans="2:21" x14ac:dyDescent="0.25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spans="2:21" x14ac:dyDescent="0.25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spans="2:21" x14ac:dyDescent="0.25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 spans="2:21" x14ac:dyDescent="0.25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spans="2:21" x14ac:dyDescent="0.25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 spans="2:21" x14ac:dyDescent="0.25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 spans="2:21" x14ac:dyDescent="0.25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 spans="2:21" x14ac:dyDescent="0.25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2:21" x14ac:dyDescent="0.25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 spans="2:21" x14ac:dyDescent="0.25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 spans="2:21" x14ac:dyDescent="0.25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 spans="2:21" x14ac:dyDescent="0.25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 spans="2:21" x14ac:dyDescent="0.25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2:21" x14ac:dyDescent="0.25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 spans="2:21" x14ac:dyDescent="0.25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 spans="2:21" x14ac:dyDescent="0.25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</row>
    <row r="109" spans="2:21" x14ac:dyDescent="0.25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 spans="2:21" x14ac:dyDescent="0.25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 spans="2:21" x14ac:dyDescent="0.25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 spans="2:21" x14ac:dyDescent="0.25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 spans="2:21" x14ac:dyDescent="0.25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</row>
    <row r="114" spans="2:21" x14ac:dyDescent="0.25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</row>
    <row r="115" spans="2:21" x14ac:dyDescent="0.2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 spans="2:21" x14ac:dyDescent="0.25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</row>
    <row r="117" spans="2:21" x14ac:dyDescent="0.25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</row>
    <row r="118" spans="2:21" x14ac:dyDescent="0.25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 spans="2:21" x14ac:dyDescent="0.25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</row>
    <row r="120" spans="2:21" x14ac:dyDescent="0.25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</row>
    <row r="121" spans="2:21" x14ac:dyDescent="0.25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 spans="2:21" x14ac:dyDescent="0.25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 spans="2:21" x14ac:dyDescent="0.25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 spans="2:21" x14ac:dyDescent="0.25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</row>
    <row r="125" spans="2:21" x14ac:dyDescent="0.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</row>
    <row r="126" spans="2:21" x14ac:dyDescent="0.25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 spans="2:21" x14ac:dyDescent="0.25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 spans="2:21" x14ac:dyDescent="0.25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 spans="2:21" x14ac:dyDescent="0.25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2:21" x14ac:dyDescent="0.25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</row>
    <row r="131" spans="2:21" x14ac:dyDescent="0.25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 spans="2:21" x14ac:dyDescent="0.25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 spans="2:21" x14ac:dyDescent="0.25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 spans="2:21" x14ac:dyDescent="0.25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 spans="2:21" x14ac:dyDescent="0.25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 spans="2:21" x14ac:dyDescent="0.25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 spans="2:21" x14ac:dyDescent="0.25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2:21" x14ac:dyDescent="0.25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 spans="2:21" x14ac:dyDescent="0.25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 spans="2:21" x14ac:dyDescent="0.25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</sheetData>
  <mergeCells count="4">
    <mergeCell ref="A1:D1"/>
    <mergeCell ref="E1:R1"/>
    <mergeCell ref="S1:S2"/>
    <mergeCell ref="T1:U1"/>
  </mergeCells>
  <pageMargins left="0.7" right="0.7" top="0.75" bottom="0.75" header="0.3" footer="0.3"/>
  <pageSetup paperSize="256" orientation="portrait" horizontalDpi="203" verticalDpi="203" r:id="rId1"/>
  <ignoredErrors>
    <ignoredError sqref="D3:D7 D8:D9 D10:D24 D50:D68 D25:D48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5"/>
  <sheetViews>
    <sheetView workbookViewId="0">
      <selection activeCell="B18" sqref="B18"/>
    </sheetView>
  </sheetViews>
  <sheetFormatPr defaultColWidth="11.42578125" defaultRowHeight="15" x14ac:dyDescent="0.25"/>
  <cols>
    <col min="1" max="1" width="21.5703125" customWidth="1"/>
    <col min="5" max="5" width="4" customWidth="1"/>
    <col min="6" max="6" width="5.140625" customWidth="1"/>
    <col min="7" max="7" width="4.140625" customWidth="1"/>
    <col min="8" max="8" width="5" customWidth="1"/>
    <col min="9" max="9" width="4.140625" customWidth="1"/>
    <col min="10" max="10" width="5.140625" customWidth="1"/>
    <col min="11" max="11" width="4.28515625" customWidth="1"/>
    <col min="12" max="12" width="5.7109375" customWidth="1"/>
    <col min="13" max="13" width="4" customWidth="1"/>
    <col min="14" max="14" width="5.7109375" customWidth="1"/>
    <col min="15" max="15" width="4.42578125" customWidth="1"/>
    <col min="16" max="16" width="5.28515625" customWidth="1"/>
    <col min="17" max="17" width="4" customWidth="1"/>
    <col min="18" max="18" width="5.140625" customWidth="1"/>
    <col min="19" max="19" width="18.28515625" customWidth="1"/>
    <col min="20" max="20" width="14.140625" customWidth="1"/>
    <col min="21" max="21" width="13.7109375" customWidth="1"/>
  </cols>
  <sheetData>
    <row r="1" spans="1:21" ht="18.75" x14ac:dyDescent="0.25">
      <c r="A1" s="63" t="s">
        <v>84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66"/>
      <c r="T2" s="22" t="s">
        <v>9</v>
      </c>
      <c r="U2" s="22" t="s">
        <v>10</v>
      </c>
    </row>
    <row r="3" spans="1:21" x14ac:dyDescent="0.25">
      <c r="A3" s="1" t="s">
        <v>76</v>
      </c>
      <c r="B3" s="10">
        <v>783</v>
      </c>
      <c r="C3" s="10">
        <v>9201</v>
      </c>
      <c r="D3" s="19">
        <f>SUM(E3:R3)</f>
        <v>12</v>
      </c>
      <c r="E3" s="10"/>
      <c r="F3" s="10"/>
      <c r="G3" s="10"/>
      <c r="H3" s="10"/>
      <c r="I3" s="10"/>
      <c r="J3" s="10"/>
      <c r="K3" s="10"/>
      <c r="L3" s="10">
        <v>1</v>
      </c>
      <c r="M3" s="10">
        <v>3</v>
      </c>
      <c r="N3" s="10">
        <v>2</v>
      </c>
      <c r="O3" s="10">
        <v>2</v>
      </c>
      <c r="P3" s="10">
        <v>2</v>
      </c>
      <c r="Q3" s="10">
        <v>1</v>
      </c>
      <c r="R3" s="10">
        <v>1</v>
      </c>
      <c r="S3" s="13">
        <v>46042</v>
      </c>
      <c r="T3" s="10"/>
      <c r="U3" s="10"/>
    </row>
    <row r="4" spans="1:21" x14ac:dyDescent="0.25">
      <c r="A4" s="1" t="s">
        <v>76</v>
      </c>
      <c r="B4" s="10">
        <v>784</v>
      </c>
      <c r="C4" s="10">
        <v>9201</v>
      </c>
      <c r="D4" s="19">
        <f t="shared" ref="D4:D13" si="0">SUM(E4:R4)</f>
        <v>48</v>
      </c>
      <c r="E4" s="10">
        <v>4</v>
      </c>
      <c r="F4" s="10">
        <v>4</v>
      </c>
      <c r="G4" s="10">
        <v>4</v>
      </c>
      <c r="H4" s="10">
        <v>4</v>
      </c>
      <c r="I4" s="10">
        <v>4</v>
      </c>
      <c r="J4" s="10">
        <v>4</v>
      </c>
      <c r="K4" s="10">
        <v>4</v>
      </c>
      <c r="L4" s="10">
        <v>2</v>
      </c>
      <c r="M4" s="10">
        <v>4</v>
      </c>
      <c r="N4" s="10">
        <v>2</v>
      </c>
      <c r="O4" s="10">
        <v>4</v>
      </c>
      <c r="P4" s="10">
        <v>2</v>
      </c>
      <c r="Q4" s="10">
        <v>4</v>
      </c>
      <c r="R4" s="10">
        <v>2</v>
      </c>
      <c r="S4" s="13">
        <v>46042</v>
      </c>
      <c r="T4" s="10" t="s">
        <v>59</v>
      </c>
      <c r="U4" s="10" t="s">
        <v>59</v>
      </c>
    </row>
    <row r="5" spans="1:21" x14ac:dyDescent="0.25">
      <c r="A5" s="1" t="s">
        <v>76</v>
      </c>
      <c r="B5" s="10">
        <v>785</v>
      </c>
      <c r="C5" s="10">
        <v>9201</v>
      </c>
      <c r="D5" s="19">
        <f t="shared" si="0"/>
        <v>48</v>
      </c>
      <c r="E5" s="10">
        <v>4</v>
      </c>
      <c r="F5" s="10">
        <v>4</v>
      </c>
      <c r="G5" s="10">
        <v>4</v>
      </c>
      <c r="H5" s="10">
        <v>4</v>
      </c>
      <c r="I5" s="10">
        <v>4</v>
      </c>
      <c r="J5" s="10">
        <v>4</v>
      </c>
      <c r="K5" s="10">
        <v>4</v>
      </c>
      <c r="L5" s="10">
        <v>2</v>
      </c>
      <c r="M5" s="10">
        <v>4</v>
      </c>
      <c r="N5" s="10">
        <v>2</v>
      </c>
      <c r="O5" s="10">
        <v>4</v>
      </c>
      <c r="P5" s="10">
        <v>2</v>
      </c>
      <c r="Q5" s="10">
        <v>4</v>
      </c>
      <c r="R5" s="10">
        <v>2</v>
      </c>
      <c r="S5" s="13">
        <v>46042</v>
      </c>
      <c r="T5" s="10" t="s">
        <v>59</v>
      </c>
      <c r="U5" s="10" t="s">
        <v>59</v>
      </c>
    </row>
    <row r="6" spans="1:21" x14ac:dyDescent="0.25">
      <c r="A6" s="1" t="s">
        <v>76</v>
      </c>
      <c r="B6" s="10">
        <v>786</v>
      </c>
      <c r="C6" s="10">
        <v>9004</v>
      </c>
      <c r="D6" s="19">
        <f t="shared" si="0"/>
        <v>48</v>
      </c>
      <c r="E6" s="10">
        <v>4</v>
      </c>
      <c r="F6" s="10">
        <v>4</v>
      </c>
      <c r="G6" s="10">
        <v>4</v>
      </c>
      <c r="H6" s="10">
        <v>4</v>
      </c>
      <c r="I6" s="10">
        <v>4</v>
      </c>
      <c r="J6" s="10">
        <v>4</v>
      </c>
      <c r="K6" s="10">
        <v>4</v>
      </c>
      <c r="L6" s="10">
        <v>2</v>
      </c>
      <c r="M6" s="10">
        <v>4</v>
      </c>
      <c r="N6" s="10">
        <v>2</v>
      </c>
      <c r="O6" s="10">
        <v>4</v>
      </c>
      <c r="P6" s="10">
        <v>2</v>
      </c>
      <c r="Q6" s="10">
        <v>4</v>
      </c>
      <c r="R6" s="10">
        <v>2</v>
      </c>
      <c r="S6" s="13">
        <v>46042</v>
      </c>
      <c r="T6" s="10"/>
      <c r="U6" s="10"/>
    </row>
    <row r="7" spans="1:21" x14ac:dyDescent="0.25">
      <c r="A7" s="1" t="s">
        <v>76</v>
      </c>
      <c r="B7" s="10">
        <v>787</v>
      </c>
      <c r="C7" s="10">
        <v>9004</v>
      </c>
      <c r="D7" s="19">
        <f t="shared" si="0"/>
        <v>48</v>
      </c>
      <c r="E7" s="10">
        <v>4</v>
      </c>
      <c r="F7" s="10">
        <v>4</v>
      </c>
      <c r="G7" s="10">
        <v>4</v>
      </c>
      <c r="H7" s="10">
        <v>4</v>
      </c>
      <c r="I7" s="10">
        <v>4</v>
      </c>
      <c r="J7" s="10">
        <v>4</v>
      </c>
      <c r="K7" s="10">
        <v>4</v>
      </c>
      <c r="L7" s="10">
        <v>2</v>
      </c>
      <c r="M7" s="10">
        <v>4</v>
      </c>
      <c r="N7" s="10">
        <v>2</v>
      </c>
      <c r="O7" s="10">
        <v>4</v>
      </c>
      <c r="P7" s="10">
        <v>2</v>
      </c>
      <c r="Q7" s="10">
        <v>4</v>
      </c>
      <c r="R7" s="10">
        <v>2</v>
      </c>
      <c r="S7" s="13">
        <v>46042</v>
      </c>
      <c r="T7" s="10"/>
      <c r="U7" s="10"/>
    </row>
    <row r="8" spans="1:21" x14ac:dyDescent="0.25">
      <c r="A8" s="1" t="s">
        <v>74</v>
      </c>
      <c r="B8" s="10">
        <v>794</v>
      </c>
      <c r="C8" s="10">
        <v>9203</v>
      </c>
      <c r="D8" s="19">
        <f t="shared" si="0"/>
        <v>36</v>
      </c>
      <c r="E8" s="10">
        <v>2</v>
      </c>
      <c r="F8" s="10"/>
      <c r="G8" s="10">
        <v>2</v>
      </c>
      <c r="H8" s="10">
        <v>2</v>
      </c>
      <c r="I8" s="10">
        <v>4</v>
      </c>
      <c r="J8" s="10">
        <v>3</v>
      </c>
      <c r="K8" s="10">
        <v>4</v>
      </c>
      <c r="L8" s="10">
        <v>3</v>
      </c>
      <c r="M8" s="10">
        <v>3</v>
      </c>
      <c r="N8" s="10">
        <v>2</v>
      </c>
      <c r="O8" s="10">
        <v>3</v>
      </c>
      <c r="P8" s="10">
        <v>2</v>
      </c>
      <c r="Q8" s="10">
        <v>3</v>
      </c>
      <c r="R8" s="10">
        <v>3</v>
      </c>
      <c r="S8" s="13">
        <v>46045</v>
      </c>
      <c r="T8" s="10" t="s">
        <v>53</v>
      </c>
      <c r="U8" s="10"/>
    </row>
    <row r="9" spans="1:21" x14ac:dyDescent="0.25">
      <c r="A9" s="1" t="s">
        <v>74</v>
      </c>
      <c r="B9" s="10">
        <v>795</v>
      </c>
      <c r="C9" s="10">
        <v>1001</v>
      </c>
      <c r="D9" s="19">
        <f t="shared" si="0"/>
        <v>48</v>
      </c>
      <c r="E9" s="10">
        <v>2</v>
      </c>
      <c r="F9" s="10">
        <v>2</v>
      </c>
      <c r="G9" s="10">
        <v>2</v>
      </c>
      <c r="H9" s="10">
        <v>2</v>
      </c>
      <c r="I9" s="10">
        <v>2</v>
      </c>
      <c r="J9" s="10">
        <v>2</v>
      </c>
      <c r="K9" s="10">
        <v>5</v>
      </c>
      <c r="L9" s="10">
        <v>4</v>
      </c>
      <c r="M9" s="10">
        <v>5</v>
      </c>
      <c r="N9" s="10">
        <v>4</v>
      </c>
      <c r="O9" s="10">
        <v>5</v>
      </c>
      <c r="P9" s="10">
        <v>4</v>
      </c>
      <c r="Q9" s="10">
        <v>5</v>
      </c>
      <c r="R9" s="10">
        <v>4</v>
      </c>
      <c r="S9" s="13">
        <v>46045</v>
      </c>
      <c r="T9" s="10" t="s">
        <v>53</v>
      </c>
      <c r="U9" s="10"/>
    </row>
    <row r="10" spans="1:21" x14ac:dyDescent="0.25">
      <c r="A10" s="1" t="s">
        <v>74</v>
      </c>
      <c r="B10" s="10">
        <v>796</v>
      </c>
      <c r="C10" s="10">
        <v>9228</v>
      </c>
      <c r="D10" s="19">
        <f t="shared" si="0"/>
        <v>48</v>
      </c>
      <c r="E10" s="10">
        <v>2</v>
      </c>
      <c r="F10" s="10">
        <v>2</v>
      </c>
      <c r="G10" s="10">
        <v>2</v>
      </c>
      <c r="H10" s="10">
        <v>2</v>
      </c>
      <c r="I10" s="10">
        <v>2</v>
      </c>
      <c r="J10" s="10">
        <v>2</v>
      </c>
      <c r="K10" s="10">
        <v>5</v>
      </c>
      <c r="L10" s="10">
        <v>4</v>
      </c>
      <c r="M10" s="10">
        <v>5</v>
      </c>
      <c r="N10" s="10">
        <v>4</v>
      </c>
      <c r="O10" s="10">
        <v>5</v>
      </c>
      <c r="P10" s="10">
        <v>4</v>
      </c>
      <c r="Q10" s="10">
        <v>5</v>
      </c>
      <c r="R10" s="10">
        <v>4</v>
      </c>
      <c r="S10" s="13">
        <v>46045</v>
      </c>
      <c r="T10" s="10"/>
      <c r="U10" s="10"/>
    </row>
    <row r="11" spans="1:21" x14ac:dyDescent="0.25">
      <c r="A11" s="1" t="s">
        <v>74</v>
      </c>
      <c r="B11" s="10">
        <v>797</v>
      </c>
      <c r="C11" s="10">
        <v>9213</v>
      </c>
      <c r="D11" s="19">
        <f t="shared" si="0"/>
        <v>48</v>
      </c>
      <c r="E11" s="10">
        <v>2</v>
      </c>
      <c r="F11" s="10">
        <v>2</v>
      </c>
      <c r="G11" s="10">
        <v>2</v>
      </c>
      <c r="H11" s="10">
        <v>2</v>
      </c>
      <c r="I11" s="10">
        <v>2</v>
      </c>
      <c r="J11" s="10">
        <v>2</v>
      </c>
      <c r="K11" s="10">
        <v>5</v>
      </c>
      <c r="L11" s="10">
        <v>4</v>
      </c>
      <c r="M11" s="10">
        <v>5</v>
      </c>
      <c r="N11" s="10">
        <v>4</v>
      </c>
      <c r="O11" s="10">
        <v>5</v>
      </c>
      <c r="P11" s="10">
        <v>4</v>
      </c>
      <c r="Q11" s="10">
        <v>5</v>
      </c>
      <c r="R11" s="10">
        <v>4</v>
      </c>
      <c r="S11" s="13">
        <v>46045</v>
      </c>
      <c r="T11" s="10" t="s">
        <v>59</v>
      </c>
      <c r="U11" s="10" t="s">
        <v>59</v>
      </c>
    </row>
    <row r="12" spans="1:21" x14ac:dyDescent="0.25">
      <c r="A12" s="1" t="s">
        <v>74</v>
      </c>
      <c r="B12" s="10">
        <v>798</v>
      </c>
      <c r="C12" s="10">
        <v>9201</v>
      </c>
      <c r="D12" s="19">
        <f t="shared" si="0"/>
        <v>48</v>
      </c>
      <c r="E12" s="10">
        <v>2</v>
      </c>
      <c r="F12" s="10">
        <v>2</v>
      </c>
      <c r="G12" s="10">
        <v>2</v>
      </c>
      <c r="H12" s="10">
        <v>2</v>
      </c>
      <c r="I12" s="10">
        <v>2</v>
      </c>
      <c r="J12" s="10">
        <v>2</v>
      </c>
      <c r="K12" s="10">
        <v>5</v>
      </c>
      <c r="L12" s="10">
        <v>4</v>
      </c>
      <c r="M12" s="10">
        <v>5</v>
      </c>
      <c r="N12" s="10">
        <v>4</v>
      </c>
      <c r="O12" s="10">
        <v>5</v>
      </c>
      <c r="P12" s="10">
        <v>4</v>
      </c>
      <c r="Q12" s="10">
        <v>5</v>
      </c>
      <c r="R12" s="10">
        <v>4</v>
      </c>
      <c r="S12" s="13">
        <v>46045</v>
      </c>
      <c r="T12" s="10" t="s">
        <v>53</v>
      </c>
      <c r="U12" s="10" t="s">
        <v>53</v>
      </c>
    </row>
    <row r="13" spans="1:21" x14ac:dyDescent="0.25">
      <c r="A13" s="1" t="s">
        <v>74</v>
      </c>
      <c r="B13" s="10">
        <v>799</v>
      </c>
      <c r="C13" s="10">
        <v>9211</v>
      </c>
      <c r="D13" s="19">
        <f t="shared" si="0"/>
        <v>48</v>
      </c>
      <c r="E13" s="10">
        <v>2</v>
      </c>
      <c r="F13" s="10">
        <v>2</v>
      </c>
      <c r="G13" s="10">
        <v>2</v>
      </c>
      <c r="H13" s="10">
        <v>2</v>
      </c>
      <c r="I13" s="10">
        <v>2</v>
      </c>
      <c r="J13" s="10">
        <v>2</v>
      </c>
      <c r="K13" s="10">
        <v>5</v>
      </c>
      <c r="L13" s="10">
        <v>4</v>
      </c>
      <c r="M13" s="10">
        <v>5</v>
      </c>
      <c r="N13" s="10">
        <v>4</v>
      </c>
      <c r="O13" s="10">
        <v>5</v>
      </c>
      <c r="P13" s="10">
        <v>4</v>
      </c>
      <c r="Q13" s="10">
        <v>5</v>
      </c>
      <c r="R13" s="10">
        <v>4</v>
      </c>
      <c r="S13" s="13">
        <v>46045</v>
      </c>
      <c r="T13" s="10"/>
      <c r="U13" s="10"/>
    </row>
    <row r="14" spans="1:21" x14ac:dyDescent="0.25">
      <c r="D14" s="26">
        <f>SUM(D3:D13)</f>
        <v>480</v>
      </c>
    </row>
    <row r="15" spans="1:21" x14ac:dyDescent="0.25">
      <c r="D15" s="27"/>
    </row>
  </sheetData>
  <mergeCells count="4">
    <mergeCell ref="A1:D1"/>
    <mergeCell ref="E1:R1"/>
    <mergeCell ref="S1:S2"/>
    <mergeCell ref="T1:U1"/>
  </mergeCells>
  <pageMargins left="0.7" right="0.7" top="0.75" bottom="0.75" header="0.3" footer="0.3"/>
  <pageSetup paperSize="256" orientation="portrait" horizontalDpi="203" verticalDpi="203" r:id="rId1"/>
  <ignoredErrors>
    <ignoredError sqref="D3:D1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30"/>
  <sheetViews>
    <sheetView workbookViewId="0">
      <selection activeCell="U10" sqref="U10"/>
    </sheetView>
  </sheetViews>
  <sheetFormatPr defaultColWidth="11.42578125" defaultRowHeight="15" x14ac:dyDescent="0.25"/>
  <cols>
    <col min="1" max="1" width="22.42578125" customWidth="1"/>
    <col min="5" max="5" width="4.85546875" customWidth="1"/>
    <col min="6" max="6" width="5.42578125" customWidth="1"/>
    <col min="7" max="7" width="4" customWidth="1"/>
    <col min="8" max="8" width="5" customWidth="1"/>
    <col min="9" max="9" width="4.5703125" customWidth="1"/>
    <col min="10" max="10" width="5.5703125" customWidth="1"/>
    <col min="11" max="11" width="3.85546875" customWidth="1"/>
    <col min="12" max="12" width="5.7109375" customWidth="1"/>
    <col min="13" max="13" width="4" customWidth="1"/>
    <col min="14" max="14" width="5" customWidth="1"/>
    <col min="15" max="15" width="4.140625" customWidth="1"/>
    <col min="16" max="16" width="5.7109375" customWidth="1"/>
    <col min="17" max="17" width="4" customWidth="1"/>
    <col min="18" max="18" width="5.28515625" customWidth="1"/>
    <col min="19" max="19" width="17.5703125" customWidth="1"/>
    <col min="20" max="21" width="15" customWidth="1"/>
  </cols>
  <sheetData>
    <row r="1" spans="1:21" ht="18.75" x14ac:dyDescent="0.25">
      <c r="A1" s="63" t="s">
        <v>84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66"/>
      <c r="T2" s="22" t="s">
        <v>9</v>
      </c>
      <c r="U2" s="22" t="s">
        <v>10</v>
      </c>
    </row>
    <row r="3" spans="1:21" x14ac:dyDescent="0.25">
      <c r="A3" s="1" t="s">
        <v>29</v>
      </c>
      <c r="B3" s="10">
        <v>800</v>
      </c>
      <c r="C3" s="10">
        <v>9220</v>
      </c>
      <c r="D3" s="19">
        <f>SUM(E3:R3)</f>
        <v>24</v>
      </c>
      <c r="E3" s="10">
        <v>2</v>
      </c>
      <c r="F3" s="10">
        <v>2</v>
      </c>
      <c r="G3" s="10">
        <v>2</v>
      </c>
      <c r="H3" s="10">
        <v>2</v>
      </c>
      <c r="I3" s="10">
        <v>2</v>
      </c>
      <c r="J3" s="10">
        <v>2</v>
      </c>
      <c r="K3" s="10">
        <v>2</v>
      </c>
      <c r="L3" s="10">
        <v>1</v>
      </c>
      <c r="M3" s="10">
        <v>2</v>
      </c>
      <c r="N3" s="10">
        <v>1</v>
      </c>
      <c r="O3" s="10">
        <v>2</v>
      </c>
      <c r="P3" s="10">
        <v>1</v>
      </c>
      <c r="Q3" s="10">
        <v>2</v>
      </c>
      <c r="R3" s="10">
        <v>1</v>
      </c>
      <c r="S3" s="13">
        <v>46048</v>
      </c>
      <c r="T3" s="10" t="s">
        <v>59</v>
      </c>
      <c r="U3" s="10" t="s">
        <v>59</v>
      </c>
    </row>
    <row r="4" spans="1:21" x14ac:dyDescent="0.25">
      <c r="A4" s="1" t="s">
        <v>29</v>
      </c>
      <c r="B4" s="10">
        <v>801</v>
      </c>
      <c r="C4" s="10">
        <v>9228</v>
      </c>
      <c r="D4" s="19">
        <f t="shared" ref="D4:D29" si="0">SUM(E4:R4)</f>
        <v>24</v>
      </c>
      <c r="E4" s="10">
        <v>2</v>
      </c>
      <c r="F4" s="10">
        <v>2</v>
      </c>
      <c r="G4" s="10">
        <v>2</v>
      </c>
      <c r="H4" s="10">
        <v>2</v>
      </c>
      <c r="I4" s="10">
        <v>2</v>
      </c>
      <c r="J4" s="10">
        <v>2</v>
      </c>
      <c r="K4" s="10">
        <v>2</v>
      </c>
      <c r="L4" s="10">
        <v>1</v>
      </c>
      <c r="M4" s="10">
        <v>2</v>
      </c>
      <c r="N4" s="10">
        <v>1</v>
      </c>
      <c r="O4" s="10">
        <v>2</v>
      </c>
      <c r="P4" s="10">
        <v>1</v>
      </c>
      <c r="Q4" s="10">
        <v>2</v>
      </c>
      <c r="R4" s="10">
        <v>1</v>
      </c>
      <c r="S4" s="13">
        <v>46048</v>
      </c>
      <c r="T4" s="10"/>
      <c r="U4" s="10"/>
    </row>
    <row r="5" spans="1:21" x14ac:dyDescent="0.25">
      <c r="A5" s="1" t="s">
        <v>29</v>
      </c>
      <c r="B5" s="10">
        <v>802</v>
      </c>
      <c r="C5" s="10">
        <v>9220</v>
      </c>
      <c r="D5" s="19">
        <f t="shared" si="0"/>
        <v>24</v>
      </c>
      <c r="E5" s="10">
        <v>2</v>
      </c>
      <c r="F5" s="10">
        <v>2</v>
      </c>
      <c r="G5" s="10">
        <v>2</v>
      </c>
      <c r="H5" s="10">
        <v>2</v>
      </c>
      <c r="I5" s="10">
        <v>2</v>
      </c>
      <c r="J5" s="10">
        <v>2</v>
      </c>
      <c r="K5" s="10">
        <v>2</v>
      </c>
      <c r="L5" s="10">
        <v>1</v>
      </c>
      <c r="M5" s="10">
        <v>2</v>
      </c>
      <c r="N5" s="10">
        <v>1</v>
      </c>
      <c r="O5" s="10">
        <v>2</v>
      </c>
      <c r="P5" s="10">
        <v>1</v>
      </c>
      <c r="Q5" s="10">
        <v>2</v>
      </c>
      <c r="R5" s="10">
        <v>1</v>
      </c>
      <c r="S5" s="13">
        <v>46048</v>
      </c>
      <c r="T5" s="10" t="s">
        <v>59</v>
      </c>
      <c r="U5" s="10"/>
    </row>
    <row r="6" spans="1:21" x14ac:dyDescent="0.25">
      <c r="A6" s="1" t="s">
        <v>29</v>
      </c>
      <c r="B6" s="10">
        <v>803</v>
      </c>
      <c r="C6" s="10">
        <v>9229</v>
      </c>
      <c r="D6" s="19">
        <f t="shared" si="0"/>
        <v>24</v>
      </c>
      <c r="E6" s="10">
        <v>2</v>
      </c>
      <c r="F6" s="10">
        <v>2</v>
      </c>
      <c r="G6" s="10">
        <v>2</v>
      </c>
      <c r="H6" s="10">
        <v>2</v>
      </c>
      <c r="I6" s="10">
        <v>2</v>
      </c>
      <c r="J6" s="10">
        <v>2</v>
      </c>
      <c r="K6" s="10">
        <v>2</v>
      </c>
      <c r="L6" s="10">
        <v>1</v>
      </c>
      <c r="M6" s="10">
        <v>2</v>
      </c>
      <c r="N6" s="10">
        <v>1</v>
      </c>
      <c r="O6" s="10">
        <v>2</v>
      </c>
      <c r="P6" s="10">
        <v>1</v>
      </c>
      <c r="Q6" s="10">
        <v>2</v>
      </c>
      <c r="R6" s="10">
        <v>1</v>
      </c>
      <c r="S6" s="13">
        <v>46048</v>
      </c>
      <c r="T6" s="10" t="s">
        <v>59</v>
      </c>
      <c r="U6" s="10"/>
    </row>
    <row r="7" spans="1:21" x14ac:dyDescent="0.25">
      <c r="A7" s="1" t="s">
        <v>29</v>
      </c>
      <c r="B7" s="10">
        <v>804</v>
      </c>
      <c r="C7" s="10">
        <v>9201</v>
      </c>
      <c r="D7" s="19">
        <f t="shared" si="0"/>
        <v>24</v>
      </c>
      <c r="E7" s="10">
        <v>2</v>
      </c>
      <c r="F7" s="10">
        <v>2</v>
      </c>
      <c r="G7" s="10">
        <v>2</v>
      </c>
      <c r="H7" s="10">
        <v>2</v>
      </c>
      <c r="I7" s="10">
        <v>2</v>
      </c>
      <c r="J7" s="10">
        <v>2</v>
      </c>
      <c r="K7" s="10">
        <v>2</v>
      </c>
      <c r="L7" s="10">
        <v>1</v>
      </c>
      <c r="M7" s="10">
        <v>2</v>
      </c>
      <c r="N7" s="10">
        <v>1</v>
      </c>
      <c r="O7" s="10">
        <v>2</v>
      </c>
      <c r="P7" s="10">
        <v>1</v>
      </c>
      <c r="Q7" s="10">
        <v>2</v>
      </c>
      <c r="R7" s="10">
        <v>1</v>
      </c>
      <c r="S7" s="13">
        <v>46048</v>
      </c>
      <c r="T7" s="10" t="s">
        <v>59</v>
      </c>
      <c r="U7" s="10" t="s">
        <v>59</v>
      </c>
    </row>
    <row r="8" spans="1:21" x14ac:dyDescent="0.25">
      <c r="A8" s="1" t="s">
        <v>29</v>
      </c>
      <c r="B8" s="10">
        <v>805</v>
      </c>
      <c r="C8" s="10">
        <v>9214</v>
      </c>
      <c r="D8" s="19">
        <f t="shared" si="0"/>
        <v>24</v>
      </c>
      <c r="E8" s="10">
        <v>2</v>
      </c>
      <c r="F8" s="10">
        <v>2</v>
      </c>
      <c r="G8" s="10">
        <v>2</v>
      </c>
      <c r="H8" s="10">
        <v>2</v>
      </c>
      <c r="I8" s="10">
        <v>2</v>
      </c>
      <c r="J8" s="10">
        <v>2</v>
      </c>
      <c r="K8" s="10">
        <v>2</v>
      </c>
      <c r="L8" s="10">
        <v>1</v>
      </c>
      <c r="M8" s="10">
        <v>2</v>
      </c>
      <c r="N8" s="10">
        <v>1</v>
      </c>
      <c r="O8" s="10">
        <v>2</v>
      </c>
      <c r="P8" s="10">
        <v>1</v>
      </c>
      <c r="Q8" s="10">
        <v>2</v>
      </c>
      <c r="R8" s="10">
        <v>1</v>
      </c>
      <c r="S8" s="13">
        <v>46048</v>
      </c>
      <c r="T8" s="10" t="s">
        <v>53</v>
      </c>
      <c r="U8" s="10" t="s">
        <v>53</v>
      </c>
    </row>
    <row r="9" spans="1:21" x14ac:dyDescent="0.25">
      <c r="A9" s="1" t="s">
        <v>29</v>
      </c>
      <c r="B9" s="10">
        <v>806</v>
      </c>
      <c r="C9" s="10">
        <v>9226</v>
      </c>
      <c r="D9" s="19">
        <f t="shared" si="0"/>
        <v>24</v>
      </c>
      <c r="E9" s="10">
        <v>2</v>
      </c>
      <c r="F9" s="10">
        <v>2</v>
      </c>
      <c r="G9" s="10">
        <v>2</v>
      </c>
      <c r="H9" s="10">
        <v>2</v>
      </c>
      <c r="I9" s="10">
        <v>2</v>
      </c>
      <c r="J9" s="10">
        <v>2</v>
      </c>
      <c r="K9" s="10">
        <v>2</v>
      </c>
      <c r="L9" s="10">
        <v>1</v>
      </c>
      <c r="M9" s="10">
        <v>2</v>
      </c>
      <c r="N9" s="10">
        <v>1</v>
      </c>
      <c r="O9" s="10">
        <v>2</v>
      </c>
      <c r="P9" s="10">
        <v>1</v>
      </c>
      <c r="Q9" s="10">
        <v>2</v>
      </c>
      <c r="R9" s="10">
        <v>1</v>
      </c>
      <c r="S9" s="13">
        <v>46048</v>
      </c>
      <c r="T9" s="10" t="s">
        <v>53</v>
      </c>
      <c r="U9" s="10" t="s">
        <v>53</v>
      </c>
    </row>
    <row r="10" spans="1:21" x14ac:dyDescent="0.25">
      <c r="A10" s="1" t="s">
        <v>29</v>
      </c>
      <c r="B10" s="10">
        <v>807</v>
      </c>
      <c r="C10" s="10">
        <v>9208</v>
      </c>
      <c r="D10" s="19">
        <f t="shared" si="0"/>
        <v>24</v>
      </c>
      <c r="E10" s="10">
        <v>2</v>
      </c>
      <c r="F10" s="10">
        <v>2</v>
      </c>
      <c r="G10" s="10">
        <v>2</v>
      </c>
      <c r="H10" s="10">
        <v>2</v>
      </c>
      <c r="I10" s="10">
        <v>2</v>
      </c>
      <c r="J10" s="10">
        <v>2</v>
      </c>
      <c r="K10" s="10">
        <v>2</v>
      </c>
      <c r="L10" s="10">
        <v>1</v>
      </c>
      <c r="M10" s="10">
        <v>2</v>
      </c>
      <c r="N10" s="10">
        <v>1</v>
      </c>
      <c r="O10" s="10">
        <v>2</v>
      </c>
      <c r="P10" s="10">
        <v>1</v>
      </c>
      <c r="Q10" s="10">
        <v>2</v>
      </c>
      <c r="R10" s="10">
        <v>1</v>
      </c>
      <c r="S10" s="13">
        <v>46048</v>
      </c>
      <c r="T10" s="10" t="s">
        <v>53</v>
      </c>
      <c r="U10" s="10" t="s">
        <v>53</v>
      </c>
    </row>
    <row r="11" spans="1:21" x14ac:dyDescent="0.25">
      <c r="A11" s="1" t="s">
        <v>29</v>
      </c>
      <c r="B11" s="10">
        <v>808</v>
      </c>
      <c r="C11" s="10">
        <v>9201</v>
      </c>
      <c r="D11" s="19">
        <f t="shared" si="0"/>
        <v>24</v>
      </c>
      <c r="E11" s="10">
        <v>2</v>
      </c>
      <c r="F11" s="10">
        <v>2</v>
      </c>
      <c r="G11" s="10">
        <v>2</v>
      </c>
      <c r="H11" s="10">
        <v>2</v>
      </c>
      <c r="I11" s="10">
        <v>2</v>
      </c>
      <c r="J11" s="10">
        <v>2</v>
      </c>
      <c r="K11" s="10">
        <v>2</v>
      </c>
      <c r="L11" s="10">
        <v>1</v>
      </c>
      <c r="M11" s="10">
        <v>2</v>
      </c>
      <c r="N11" s="10">
        <v>1</v>
      </c>
      <c r="O11" s="10">
        <v>2</v>
      </c>
      <c r="P11" s="10">
        <v>1</v>
      </c>
      <c r="Q11" s="10">
        <v>2</v>
      </c>
      <c r="R11" s="10">
        <v>1</v>
      </c>
      <c r="S11" s="13">
        <v>46048</v>
      </c>
      <c r="T11" s="10"/>
      <c r="U11" s="10"/>
    </row>
    <row r="12" spans="1:21" x14ac:dyDescent="0.25">
      <c r="A12" s="1" t="s">
        <v>45</v>
      </c>
      <c r="B12" s="10">
        <v>809</v>
      </c>
      <c r="C12" s="10">
        <v>9248</v>
      </c>
      <c r="D12" s="19">
        <f t="shared" si="0"/>
        <v>24</v>
      </c>
      <c r="E12" s="10">
        <v>2</v>
      </c>
      <c r="F12" s="10">
        <v>2</v>
      </c>
      <c r="G12" s="10">
        <v>2</v>
      </c>
      <c r="H12" s="10">
        <v>2</v>
      </c>
      <c r="I12" s="10">
        <v>2</v>
      </c>
      <c r="J12" s="10">
        <v>2</v>
      </c>
      <c r="K12" s="10">
        <v>2</v>
      </c>
      <c r="L12" s="10">
        <v>1</v>
      </c>
      <c r="M12" s="10">
        <v>2</v>
      </c>
      <c r="N12" s="10">
        <v>1</v>
      </c>
      <c r="O12" s="10">
        <v>2</v>
      </c>
      <c r="P12" s="10">
        <v>1</v>
      </c>
      <c r="Q12" s="10">
        <v>2</v>
      </c>
      <c r="R12" s="10">
        <v>1</v>
      </c>
      <c r="S12" s="13">
        <v>46048</v>
      </c>
      <c r="T12" s="10"/>
      <c r="U12" s="10"/>
    </row>
    <row r="13" spans="1:21" x14ac:dyDescent="0.25">
      <c r="A13" s="1" t="s">
        <v>45</v>
      </c>
      <c r="B13" s="10">
        <v>810</v>
      </c>
      <c r="C13" s="10">
        <v>9240</v>
      </c>
      <c r="D13" s="19">
        <f t="shared" si="0"/>
        <v>24</v>
      </c>
      <c r="E13" s="10">
        <v>2</v>
      </c>
      <c r="F13" s="10">
        <v>2</v>
      </c>
      <c r="G13" s="10">
        <v>2</v>
      </c>
      <c r="H13" s="10">
        <v>2</v>
      </c>
      <c r="I13" s="10">
        <v>2</v>
      </c>
      <c r="J13" s="10">
        <v>2</v>
      </c>
      <c r="K13" s="10">
        <v>2</v>
      </c>
      <c r="L13" s="10">
        <v>1</v>
      </c>
      <c r="M13" s="10">
        <v>2</v>
      </c>
      <c r="N13" s="10">
        <v>1</v>
      </c>
      <c r="O13" s="10">
        <v>2</v>
      </c>
      <c r="P13" s="10">
        <v>1</v>
      </c>
      <c r="Q13" s="10">
        <v>2</v>
      </c>
      <c r="R13" s="10">
        <v>1</v>
      </c>
      <c r="S13" s="13">
        <v>46048</v>
      </c>
      <c r="T13" s="10"/>
      <c r="U13" s="10"/>
    </row>
    <row r="14" spans="1:21" x14ac:dyDescent="0.25">
      <c r="A14" s="1" t="s">
        <v>33</v>
      </c>
      <c r="B14" s="10">
        <v>811</v>
      </c>
      <c r="C14" s="10">
        <v>9231</v>
      </c>
      <c r="D14" s="19">
        <f t="shared" si="0"/>
        <v>48</v>
      </c>
      <c r="E14" s="10">
        <v>4</v>
      </c>
      <c r="F14" s="10">
        <v>4</v>
      </c>
      <c r="G14" s="10">
        <v>4</v>
      </c>
      <c r="H14" s="10">
        <v>4</v>
      </c>
      <c r="I14" s="10">
        <v>4</v>
      </c>
      <c r="J14" s="10">
        <v>4</v>
      </c>
      <c r="K14" s="10">
        <v>4</v>
      </c>
      <c r="L14" s="10">
        <v>2</v>
      </c>
      <c r="M14" s="10">
        <v>4</v>
      </c>
      <c r="N14" s="10">
        <v>2</v>
      </c>
      <c r="O14" s="10">
        <v>4</v>
      </c>
      <c r="P14" s="10">
        <v>2</v>
      </c>
      <c r="Q14" s="10">
        <v>4</v>
      </c>
      <c r="R14" s="10">
        <v>2</v>
      </c>
      <c r="S14" s="13">
        <v>46048</v>
      </c>
      <c r="T14" s="10" t="s">
        <v>25</v>
      </c>
      <c r="U14" s="10" t="s">
        <v>25</v>
      </c>
    </row>
    <row r="15" spans="1:21" x14ac:dyDescent="0.25">
      <c r="A15" s="1" t="s">
        <v>33</v>
      </c>
      <c r="B15" s="10">
        <v>812</v>
      </c>
      <c r="C15" s="10">
        <v>9231</v>
      </c>
      <c r="D15" s="19">
        <f t="shared" si="0"/>
        <v>48</v>
      </c>
      <c r="E15" s="10">
        <v>4</v>
      </c>
      <c r="F15" s="10">
        <v>4</v>
      </c>
      <c r="G15" s="10">
        <v>4</v>
      </c>
      <c r="H15" s="10">
        <v>4</v>
      </c>
      <c r="I15" s="10">
        <v>4</v>
      </c>
      <c r="J15" s="10">
        <v>4</v>
      </c>
      <c r="K15" s="10">
        <v>4</v>
      </c>
      <c r="L15" s="10">
        <v>2</v>
      </c>
      <c r="M15" s="10">
        <v>4</v>
      </c>
      <c r="N15" s="10">
        <v>2</v>
      </c>
      <c r="O15" s="10">
        <v>4</v>
      </c>
      <c r="P15" s="10">
        <v>2</v>
      </c>
      <c r="Q15" s="10">
        <v>4</v>
      </c>
      <c r="R15" s="10">
        <v>2</v>
      </c>
      <c r="S15" s="13">
        <v>46048</v>
      </c>
      <c r="T15" s="10" t="s">
        <v>25</v>
      </c>
      <c r="U15" s="10"/>
    </row>
    <row r="16" spans="1:21" x14ac:dyDescent="0.25">
      <c r="A16" s="1" t="s">
        <v>33</v>
      </c>
      <c r="B16" s="10">
        <v>813</v>
      </c>
      <c r="C16" s="10">
        <v>9238</v>
      </c>
      <c r="D16" s="19">
        <f t="shared" si="0"/>
        <v>48</v>
      </c>
      <c r="E16" s="10">
        <v>4</v>
      </c>
      <c r="F16" s="10">
        <v>4</v>
      </c>
      <c r="G16" s="10">
        <v>4</v>
      </c>
      <c r="H16" s="10">
        <v>4</v>
      </c>
      <c r="I16" s="10">
        <v>4</v>
      </c>
      <c r="J16" s="10">
        <v>4</v>
      </c>
      <c r="K16" s="10">
        <v>4</v>
      </c>
      <c r="L16" s="10">
        <v>2</v>
      </c>
      <c r="M16" s="10">
        <v>4</v>
      </c>
      <c r="N16" s="10">
        <v>2</v>
      </c>
      <c r="O16" s="10">
        <v>4</v>
      </c>
      <c r="P16" s="10">
        <v>2</v>
      </c>
      <c r="Q16" s="10">
        <v>4</v>
      </c>
      <c r="R16" s="10">
        <v>2</v>
      </c>
      <c r="S16" s="13">
        <v>46048</v>
      </c>
      <c r="T16" s="10" t="s">
        <v>25</v>
      </c>
      <c r="U16" s="10"/>
    </row>
    <row r="17" spans="1:21" x14ac:dyDescent="0.25">
      <c r="A17" s="1" t="s">
        <v>33</v>
      </c>
      <c r="B17" s="10">
        <v>814</v>
      </c>
      <c r="C17" s="10">
        <v>9238</v>
      </c>
      <c r="D17" s="19">
        <f t="shared" si="0"/>
        <v>48</v>
      </c>
      <c r="E17" s="10">
        <v>4</v>
      </c>
      <c r="F17" s="10">
        <v>4</v>
      </c>
      <c r="G17" s="10">
        <v>4</v>
      </c>
      <c r="H17" s="10">
        <v>4</v>
      </c>
      <c r="I17" s="10">
        <v>4</v>
      </c>
      <c r="J17" s="10">
        <v>4</v>
      </c>
      <c r="K17" s="10">
        <v>4</v>
      </c>
      <c r="L17" s="10">
        <v>2</v>
      </c>
      <c r="M17" s="10">
        <v>4</v>
      </c>
      <c r="N17" s="10">
        <v>2</v>
      </c>
      <c r="O17" s="10">
        <v>4</v>
      </c>
      <c r="P17" s="10">
        <v>2</v>
      </c>
      <c r="Q17" s="10">
        <v>4</v>
      </c>
      <c r="R17" s="10">
        <v>2</v>
      </c>
      <c r="S17" s="13">
        <v>46048</v>
      </c>
      <c r="T17" s="10" t="s">
        <v>25</v>
      </c>
      <c r="U17" s="10" t="s">
        <v>25</v>
      </c>
    </row>
    <row r="18" spans="1:21" x14ac:dyDescent="0.25">
      <c r="A18" s="1" t="s">
        <v>33</v>
      </c>
      <c r="B18" s="10">
        <v>815</v>
      </c>
      <c r="C18" s="10">
        <v>9267</v>
      </c>
      <c r="D18" s="19">
        <f t="shared" si="0"/>
        <v>48</v>
      </c>
      <c r="E18" s="10">
        <v>4</v>
      </c>
      <c r="F18" s="10">
        <v>4</v>
      </c>
      <c r="G18" s="10">
        <v>4</v>
      </c>
      <c r="H18" s="10">
        <v>4</v>
      </c>
      <c r="I18" s="10">
        <v>4</v>
      </c>
      <c r="J18" s="10">
        <v>4</v>
      </c>
      <c r="K18" s="10">
        <v>4</v>
      </c>
      <c r="L18" s="10">
        <v>2</v>
      </c>
      <c r="M18" s="10">
        <v>4</v>
      </c>
      <c r="N18" s="10">
        <v>2</v>
      </c>
      <c r="O18" s="10">
        <v>4</v>
      </c>
      <c r="P18" s="10">
        <v>2</v>
      </c>
      <c r="Q18" s="10">
        <v>4</v>
      </c>
      <c r="R18" s="10">
        <v>2</v>
      </c>
      <c r="S18" s="13">
        <v>46048</v>
      </c>
      <c r="T18" s="10" t="s">
        <v>25</v>
      </c>
      <c r="U18" s="10" t="s">
        <v>25</v>
      </c>
    </row>
    <row r="19" spans="1:21" x14ac:dyDescent="0.25">
      <c r="A19" s="1" t="s">
        <v>33</v>
      </c>
      <c r="B19" s="10">
        <v>816</v>
      </c>
      <c r="C19" s="10">
        <v>9242</v>
      </c>
      <c r="D19" s="19">
        <f t="shared" si="0"/>
        <v>48</v>
      </c>
      <c r="E19" s="10">
        <v>4</v>
      </c>
      <c r="F19" s="10">
        <v>4</v>
      </c>
      <c r="G19" s="10">
        <v>4</v>
      </c>
      <c r="H19" s="10">
        <v>4</v>
      </c>
      <c r="I19" s="10">
        <v>4</v>
      </c>
      <c r="J19" s="10">
        <v>4</v>
      </c>
      <c r="K19" s="10">
        <v>4</v>
      </c>
      <c r="L19" s="10">
        <v>2</v>
      </c>
      <c r="M19" s="10">
        <v>4</v>
      </c>
      <c r="N19" s="10">
        <v>2</v>
      </c>
      <c r="O19" s="10">
        <v>4</v>
      </c>
      <c r="P19" s="10">
        <v>2</v>
      </c>
      <c r="Q19" s="10">
        <v>4</v>
      </c>
      <c r="R19" s="10">
        <v>2</v>
      </c>
      <c r="S19" s="13">
        <v>46048</v>
      </c>
      <c r="T19" s="10" t="s">
        <v>23</v>
      </c>
      <c r="U19" s="10" t="s">
        <v>53</v>
      </c>
    </row>
    <row r="20" spans="1:21" x14ac:dyDescent="0.25">
      <c r="A20" s="1" t="s">
        <v>76</v>
      </c>
      <c r="B20" s="10">
        <v>817</v>
      </c>
      <c r="C20" s="10">
        <v>9208</v>
      </c>
      <c r="D20" s="19">
        <f>SUM(E20:R20)</f>
        <v>48</v>
      </c>
      <c r="E20" s="10">
        <v>4</v>
      </c>
      <c r="F20" s="10">
        <v>4</v>
      </c>
      <c r="G20" s="10">
        <v>4</v>
      </c>
      <c r="H20" s="10">
        <v>4</v>
      </c>
      <c r="I20" s="10">
        <v>4</v>
      </c>
      <c r="J20" s="10">
        <v>4</v>
      </c>
      <c r="K20" s="10">
        <v>4</v>
      </c>
      <c r="L20" s="10">
        <v>2</v>
      </c>
      <c r="M20" s="10">
        <v>4</v>
      </c>
      <c r="N20" s="10">
        <v>2</v>
      </c>
      <c r="O20" s="10">
        <v>4</v>
      </c>
      <c r="P20" s="10">
        <v>2</v>
      </c>
      <c r="Q20" s="10">
        <v>4</v>
      </c>
      <c r="R20" s="10">
        <v>2</v>
      </c>
      <c r="S20" s="13">
        <v>46049</v>
      </c>
      <c r="T20" s="10" t="s">
        <v>53</v>
      </c>
      <c r="U20" s="10" t="s">
        <v>53</v>
      </c>
    </row>
    <row r="21" spans="1:21" x14ac:dyDescent="0.25">
      <c r="A21" s="1" t="s">
        <v>76</v>
      </c>
      <c r="B21" s="10">
        <v>818</v>
      </c>
      <c r="C21" s="10">
        <v>9218</v>
      </c>
      <c r="D21" s="19">
        <f t="shared" si="0"/>
        <v>48</v>
      </c>
      <c r="E21" s="10">
        <v>4</v>
      </c>
      <c r="F21" s="10">
        <v>4</v>
      </c>
      <c r="G21" s="10">
        <v>4</v>
      </c>
      <c r="H21" s="10">
        <v>4</v>
      </c>
      <c r="I21" s="10">
        <v>4</v>
      </c>
      <c r="J21" s="10">
        <v>4</v>
      </c>
      <c r="K21" s="10">
        <v>4</v>
      </c>
      <c r="L21" s="10">
        <v>2</v>
      </c>
      <c r="M21" s="10">
        <v>4</v>
      </c>
      <c r="N21" s="10">
        <v>2</v>
      </c>
      <c r="O21" s="10">
        <v>4</v>
      </c>
      <c r="P21" s="10">
        <v>2</v>
      </c>
      <c r="Q21" s="10">
        <v>4</v>
      </c>
      <c r="R21" s="10">
        <v>2</v>
      </c>
      <c r="S21" s="13">
        <v>46049</v>
      </c>
      <c r="T21" s="10" t="s">
        <v>59</v>
      </c>
      <c r="U21" s="10" t="s">
        <v>53</v>
      </c>
    </row>
    <row r="22" spans="1:21" x14ac:dyDescent="0.25">
      <c r="A22" s="1" t="s">
        <v>76</v>
      </c>
      <c r="B22" s="10">
        <v>819</v>
      </c>
      <c r="C22" s="10">
        <v>1001</v>
      </c>
      <c r="D22" s="19">
        <f t="shared" si="0"/>
        <v>64</v>
      </c>
      <c r="E22" s="10">
        <v>4</v>
      </c>
      <c r="F22" s="10">
        <v>4</v>
      </c>
      <c r="G22" s="10">
        <v>4</v>
      </c>
      <c r="H22" s="10">
        <v>4</v>
      </c>
      <c r="I22" s="10">
        <v>4</v>
      </c>
      <c r="J22" s="10">
        <v>4</v>
      </c>
      <c r="K22" s="10">
        <v>6</v>
      </c>
      <c r="L22" s="10">
        <v>4</v>
      </c>
      <c r="M22" s="10">
        <v>6</v>
      </c>
      <c r="N22" s="10">
        <v>4</v>
      </c>
      <c r="O22" s="10">
        <v>6</v>
      </c>
      <c r="P22" s="10">
        <v>4</v>
      </c>
      <c r="Q22" s="10">
        <v>6</v>
      </c>
      <c r="R22" s="10">
        <v>4</v>
      </c>
      <c r="S22" s="13">
        <v>46049</v>
      </c>
      <c r="T22" s="10" t="s">
        <v>53</v>
      </c>
      <c r="U22" s="10"/>
    </row>
    <row r="23" spans="1:21" x14ac:dyDescent="0.25">
      <c r="A23" s="1" t="s">
        <v>76</v>
      </c>
      <c r="B23" s="10">
        <v>820</v>
      </c>
      <c r="C23" s="10">
        <v>1001</v>
      </c>
      <c r="D23" s="19">
        <f>SUM(E23:R23)</f>
        <v>64</v>
      </c>
      <c r="E23" s="10">
        <v>4</v>
      </c>
      <c r="F23" s="10">
        <v>4</v>
      </c>
      <c r="G23" s="10">
        <v>4</v>
      </c>
      <c r="H23" s="10">
        <v>4</v>
      </c>
      <c r="I23" s="10">
        <v>4</v>
      </c>
      <c r="J23" s="10">
        <v>4</v>
      </c>
      <c r="K23" s="10">
        <v>6</v>
      </c>
      <c r="L23" s="10">
        <v>4</v>
      </c>
      <c r="M23" s="10">
        <v>6</v>
      </c>
      <c r="N23" s="10">
        <v>4</v>
      </c>
      <c r="O23" s="10">
        <v>6</v>
      </c>
      <c r="P23" s="10">
        <v>4</v>
      </c>
      <c r="Q23" s="10">
        <v>6</v>
      </c>
      <c r="R23" s="10">
        <v>4</v>
      </c>
      <c r="S23" s="13">
        <v>46049</v>
      </c>
      <c r="T23" s="10"/>
      <c r="U23" s="10"/>
    </row>
    <row r="24" spans="1:21" x14ac:dyDescent="0.25">
      <c r="A24" s="1" t="s">
        <v>86</v>
      </c>
      <c r="B24" s="10">
        <v>821</v>
      </c>
      <c r="C24" s="10">
        <v>9231</v>
      </c>
      <c r="D24" s="19">
        <f t="shared" si="0"/>
        <v>14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3">
        <v>46050</v>
      </c>
      <c r="T24" s="10" t="s">
        <v>25</v>
      </c>
      <c r="U24" s="10" t="s">
        <v>25</v>
      </c>
    </row>
    <row r="25" spans="1:21" x14ac:dyDescent="0.25">
      <c r="A25" s="1" t="s">
        <v>74</v>
      </c>
      <c r="B25" s="10">
        <v>822</v>
      </c>
      <c r="C25" s="10">
        <v>9203</v>
      </c>
      <c r="D25" s="19">
        <f t="shared" si="0"/>
        <v>36</v>
      </c>
      <c r="E25" s="10">
        <v>2</v>
      </c>
      <c r="F25" s="10"/>
      <c r="G25" s="10">
        <v>2</v>
      </c>
      <c r="H25" s="10">
        <v>2</v>
      </c>
      <c r="I25" s="10">
        <v>4</v>
      </c>
      <c r="J25" s="10">
        <v>3</v>
      </c>
      <c r="K25" s="10">
        <v>4</v>
      </c>
      <c r="L25" s="10">
        <v>3</v>
      </c>
      <c r="M25" s="10">
        <v>3</v>
      </c>
      <c r="N25" s="10">
        <v>2</v>
      </c>
      <c r="O25" s="10">
        <v>3</v>
      </c>
      <c r="P25" s="10">
        <v>2</v>
      </c>
      <c r="Q25" s="10">
        <v>3</v>
      </c>
      <c r="R25" s="10">
        <v>3</v>
      </c>
      <c r="S25" s="13">
        <v>46050</v>
      </c>
      <c r="T25" s="10"/>
      <c r="U25" s="10"/>
    </row>
    <row r="26" spans="1:21" x14ac:dyDescent="0.25">
      <c r="A26" s="1" t="s">
        <v>74</v>
      </c>
      <c r="B26" s="10">
        <v>826</v>
      </c>
      <c r="C26" s="10">
        <v>9209</v>
      </c>
      <c r="D26" s="19">
        <f t="shared" si="0"/>
        <v>42</v>
      </c>
      <c r="E26" s="10">
        <v>3</v>
      </c>
      <c r="F26" s="10">
        <v>3</v>
      </c>
      <c r="G26" s="10">
        <v>3</v>
      </c>
      <c r="H26" s="10">
        <v>3</v>
      </c>
      <c r="I26" s="10">
        <v>3</v>
      </c>
      <c r="J26" s="10">
        <v>3</v>
      </c>
      <c r="K26" s="10">
        <v>3</v>
      </c>
      <c r="L26" s="10">
        <v>3</v>
      </c>
      <c r="M26" s="10">
        <v>3</v>
      </c>
      <c r="N26" s="10">
        <v>3</v>
      </c>
      <c r="O26" s="10">
        <v>3</v>
      </c>
      <c r="P26" s="10">
        <v>3</v>
      </c>
      <c r="Q26" s="10">
        <v>3</v>
      </c>
      <c r="R26" s="10">
        <v>3</v>
      </c>
      <c r="S26" s="13">
        <v>46051</v>
      </c>
      <c r="T26" s="10" t="s">
        <v>59</v>
      </c>
      <c r="U26" s="10" t="s">
        <v>53</v>
      </c>
    </row>
    <row r="27" spans="1:21" x14ac:dyDescent="0.25">
      <c r="A27" s="1" t="s">
        <v>74</v>
      </c>
      <c r="B27" s="10">
        <v>827</v>
      </c>
      <c r="C27" s="10">
        <v>2010</v>
      </c>
      <c r="D27" s="19">
        <f t="shared" si="0"/>
        <v>42</v>
      </c>
      <c r="E27" s="10">
        <v>3</v>
      </c>
      <c r="F27" s="10">
        <v>3</v>
      </c>
      <c r="G27" s="10">
        <v>3</v>
      </c>
      <c r="H27" s="10">
        <v>3</v>
      </c>
      <c r="I27" s="10">
        <v>3</v>
      </c>
      <c r="J27" s="10">
        <v>3</v>
      </c>
      <c r="K27" s="10">
        <v>3</v>
      </c>
      <c r="L27" s="10">
        <v>3</v>
      </c>
      <c r="M27" s="10">
        <v>3</v>
      </c>
      <c r="N27" s="10">
        <v>3</v>
      </c>
      <c r="O27" s="10">
        <v>3</v>
      </c>
      <c r="P27" s="10">
        <v>3</v>
      </c>
      <c r="Q27" s="10">
        <v>3</v>
      </c>
      <c r="R27" s="10">
        <v>3</v>
      </c>
      <c r="S27" s="13">
        <v>46051</v>
      </c>
      <c r="T27" s="10" t="s">
        <v>59</v>
      </c>
      <c r="U27" s="10" t="s">
        <v>59</v>
      </c>
    </row>
    <row r="28" spans="1:21" x14ac:dyDescent="0.25">
      <c r="A28" s="1" t="s">
        <v>60</v>
      </c>
      <c r="B28" s="10">
        <v>829</v>
      </c>
      <c r="C28" s="10">
        <v>9201</v>
      </c>
      <c r="D28" s="19">
        <f t="shared" si="0"/>
        <v>40</v>
      </c>
      <c r="E28" s="10">
        <v>2</v>
      </c>
      <c r="F28" s="10">
        <v>2</v>
      </c>
      <c r="G28" s="10">
        <v>3</v>
      </c>
      <c r="H28" s="10">
        <v>3</v>
      </c>
      <c r="I28" s="10">
        <v>4</v>
      </c>
      <c r="J28" s="10">
        <v>4</v>
      </c>
      <c r="K28" s="10">
        <v>3</v>
      </c>
      <c r="L28" s="10">
        <v>3</v>
      </c>
      <c r="M28" s="10">
        <v>3</v>
      </c>
      <c r="N28" s="10">
        <v>2</v>
      </c>
      <c r="O28" s="10">
        <v>2</v>
      </c>
      <c r="P28" s="10">
        <v>3</v>
      </c>
      <c r="Q28" s="10">
        <v>3</v>
      </c>
      <c r="R28" s="10">
        <v>3</v>
      </c>
      <c r="S28" s="13">
        <v>46051</v>
      </c>
      <c r="T28" s="10" t="s">
        <v>59</v>
      </c>
      <c r="U28" s="10" t="s">
        <v>53</v>
      </c>
    </row>
    <row r="29" spans="1:21" x14ac:dyDescent="0.25">
      <c r="A29" s="1" t="s">
        <v>60</v>
      </c>
      <c r="B29" s="10">
        <v>830</v>
      </c>
      <c r="C29" s="10">
        <v>9201</v>
      </c>
      <c r="D29" s="19">
        <f t="shared" si="0"/>
        <v>40</v>
      </c>
      <c r="E29" s="10">
        <v>2</v>
      </c>
      <c r="F29" s="10">
        <v>2</v>
      </c>
      <c r="G29" s="10">
        <v>3</v>
      </c>
      <c r="H29" s="10">
        <v>3</v>
      </c>
      <c r="I29" s="10">
        <v>4</v>
      </c>
      <c r="J29" s="10">
        <v>4</v>
      </c>
      <c r="K29" s="10">
        <v>3</v>
      </c>
      <c r="L29" s="10">
        <v>3</v>
      </c>
      <c r="M29" s="10">
        <v>3</v>
      </c>
      <c r="N29" s="10">
        <v>2</v>
      </c>
      <c r="O29" s="10">
        <v>2</v>
      </c>
      <c r="P29" s="10">
        <v>3</v>
      </c>
      <c r="Q29" s="10">
        <v>3</v>
      </c>
      <c r="R29" s="10">
        <v>3</v>
      </c>
      <c r="S29" s="13">
        <v>46051</v>
      </c>
      <c r="T29" s="10"/>
      <c r="U29" s="10" t="s">
        <v>53</v>
      </c>
    </row>
    <row r="30" spans="1:21" x14ac:dyDescent="0.25">
      <c r="D30" s="26">
        <f>SUM(D3:D29)</f>
        <v>990</v>
      </c>
    </row>
  </sheetData>
  <mergeCells count="4">
    <mergeCell ref="A1:D1"/>
    <mergeCell ref="E1:R1"/>
    <mergeCell ref="S1:S2"/>
    <mergeCell ref="T1:U1"/>
  </mergeCells>
  <pageMargins left="0.7" right="0.7" top="0.75" bottom="0.75" header="0.3" footer="0.3"/>
  <pageSetup paperSize="256" orientation="portrait" horizontalDpi="203" verticalDpi="203" r:id="rId1"/>
  <ignoredErrors>
    <ignoredError sqref="D3:D11 D12:D16 D17:D22 D23:D2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39"/>
  <sheetViews>
    <sheetView topLeftCell="A25" workbookViewId="0">
      <selection activeCell="A38" sqref="A38:XFD38"/>
    </sheetView>
  </sheetViews>
  <sheetFormatPr defaultColWidth="11.42578125" defaultRowHeight="15" x14ac:dyDescent="0.25"/>
  <cols>
    <col min="1" max="1" width="18.140625" customWidth="1"/>
    <col min="5" max="5" width="4.28515625" customWidth="1"/>
    <col min="6" max="6" width="5.5703125" customWidth="1"/>
    <col min="7" max="7" width="4.42578125" customWidth="1"/>
    <col min="8" max="8" width="5.140625" customWidth="1"/>
    <col min="9" max="9" width="4.140625" customWidth="1"/>
    <col min="10" max="10" width="5.140625" customWidth="1"/>
    <col min="11" max="11" width="4.140625" customWidth="1"/>
    <col min="12" max="12" width="5.28515625" customWidth="1"/>
    <col min="13" max="13" width="4.85546875" customWidth="1"/>
    <col min="14" max="14" width="6.140625" customWidth="1"/>
    <col min="15" max="15" width="4" customWidth="1"/>
    <col min="16" max="16" width="5.42578125" customWidth="1"/>
    <col min="17" max="17" width="4.85546875" customWidth="1"/>
    <col min="18" max="18" width="5.85546875" customWidth="1"/>
    <col min="19" max="19" width="17.28515625" customWidth="1"/>
    <col min="20" max="20" width="13.140625" customWidth="1"/>
    <col min="21" max="21" width="14.140625" customWidth="1"/>
  </cols>
  <sheetData>
    <row r="1" spans="1:21" ht="18.75" x14ac:dyDescent="0.25">
      <c r="A1" s="63" t="s">
        <v>87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66"/>
      <c r="T2" s="22" t="s">
        <v>9</v>
      </c>
      <c r="U2" s="22" t="s">
        <v>10</v>
      </c>
    </row>
    <row r="3" spans="1:21" x14ac:dyDescent="0.25">
      <c r="A3" s="1" t="s">
        <v>88</v>
      </c>
      <c r="B3" s="10">
        <v>833</v>
      </c>
      <c r="C3" s="10">
        <v>3000</v>
      </c>
      <c r="D3" s="19">
        <f>SUM(E3:R3)</f>
        <v>12</v>
      </c>
      <c r="E3" s="10"/>
      <c r="F3" s="10"/>
      <c r="G3" s="10"/>
      <c r="H3" s="10"/>
      <c r="I3" s="10"/>
      <c r="J3" s="10"/>
      <c r="K3" s="10">
        <v>2</v>
      </c>
      <c r="L3" s="10">
        <v>1</v>
      </c>
      <c r="M3" s="10">
        <v>2</v>
      </c>
      <c r="N3" s="10">
        <v>1</v>
      </c>
      <c r="O3" s="10">
        <v>2</v>
      </c>
      <c r="P3" s="10">
        <v>1</v>
      </c>
      <c r="Q3" s="10">
        <v>2</v>
      </c>
      <c r="R3" s="10">
        <v>1</v>
      </c>
      <c r="S3" s="13">
        <v>46056</v>
      </c>
      <c r="T3" s="10"/>
      <c r="U3" s="10"/>
    </row>
    <row r="4" spans="1:21" x14ac:dyDescent="0.25">
      <c r="A4" s="1" t="s">
        <v>88</v>
      </c>
      <c r="B4" s="10">
        <v>834</v>
      </c>
      <c r="C4" s="10">
        <v>9201</v>
      </c>
      <c r="D4" s="19">
        <f t="shared" ref="D4:D33" si="0">SUM(E4:R4)</f>
        <v>12</v>
      </c>
      <c r="E4" s="10">
        <v>2</v>
      </c>
      <c r="F4" s="10">
        <v>2</v>
      </c>
      <c r="G4" s="10">
        <v>2</v>
      </c>
      <c r="H4" s="10">
        <v>2</v>
      </c>
      <c r="I4" s="10">
        <v>2</v>
      </c>
      <c r="J4" s="10">
        <v>2</v>
      </c>
      <c r="K4" s="10"/>
      <c r="L4" s="10"/>
      <c r="M4" s="10"/>
      <c r="N4" s="10"/>
      <c r="O4" s="10"/>
      <c r="P4" s="10"/>
      <c r="Q4" s="10"/>
      <c r="R4" s="10"/>
      <c r="S4" s="13">
        <v>46056</v>
      </c>
      <c r="T4" s="10" t="s">
        <v>59</v>
      </c>
      <c r="U4" s="10" t="s">
        <v>23</v>
      </c>
    </row>
    <row r="5" spans="1:21" x14ac:dyDescent="0.25">
      <c r="A5" s="1" t="s">
        <v>88</v>
      </c>
      <c r="B5" s="10">
        <v>835</v>
      </c>
      <c r="C5" s="10">
        <v>9201</v>
      </c>
      <c r="D5" s="19">
        <f t="shared" si="0"/>
        <v>12</v>
      </c>
      <c r="E5" s="10">
        <v>2</v>
      </c>
      <c r="F5" s="10">
        <v>2</v>
      </c>
      <c r="G5" s="10">
        <v>2</v>
      </c>
      <c r="H5" s="10">
        <v>2</v>
      </c>
      <c r="I5" s="10">
        <v>2</v>
      </c>
      <c r="J5" s="10">
        <v>2</v>
      </c>
      <c r="K5" s="10"/>
      <c r="L5" s="10"/>
      <c r="M5" s="10"/>
      <c r="N5" s="10"/>
      <c r="O5" s="10"/>
      <c r="P5" s="10"/>
      <c r="Q5" s="10"/>
      <c r="R5" s="10"/>
      <c r="S5" s="13">
        <v>46056</v>
      </c>
      <c r="T5" s="10" t="s">
        <v>59</v>
      </c>
      <c r="U5" s="10" t="s">
        <v>23</v>
      </c>
    </row>
    <row r="6" spans="1:21" x14ac:dyDescent="0.25">
      <c r="A6" s="1" t="s">
        <v>88</v>
      </c>
      <c r="B6" s="10">
        <v>836</v>
      </c>
      <c r="C6" s="10">
        <v>9201</v>
      </c>
      <c r="D6" s="19">
        <f t="shared" si="0"/>
        <v>12</v>
      </c>
      <c r="E6" s="10">
        <v>2</v>
      </c>
      <c r="F6" s="10">
        <v>2</v>
      </c>
      <c r="G6" s="10">
        <v>2</v>
      </c>
      <c r="H6" s="10">
        <v>2</v>
      </c>
      <c r="I6" s="10">
        <v>2</v>
      </c>
      <c r="J6" s="10">
        <v>2</v>
      </c>
      <c r="K6" s="10"/>
      <c r="L6" s="10"/>
      <c r="M6" s="10"/>
      <c r="N6" s="10"/>
      <c r="O6" s="10"/>
      <c r="P6" s="10"/>
      <c r="Q6" s="10"/>
      <c r="R6" s="10"/>
      <c r="S6" s="13">
        <v>46056</v>
      </c>
      <c r="T6" s="10" t="s">
        <v>23</v>
      </c>
      <c r="U6" s="10" t="s">
        <v>23</v>
      </c>
    </row>
    <row r="7" spans="1:21" x14ac:dyDescent="0.25">
      <c r="A7" s="1" t="s">
        <v>36</v>
      </c>
      <c r="B7" s="10">
        <v>837</v>
      </c>
      <c r="C7" s="10">
        <v>9201</v>
      </c>
      <c r="D7" s="19">
        <f t="shared" si="0"/>
        <v>120</v>
      </c>
      <c r="E7" s="10"/>
      <c r="F7" s="10"/>
      <c r="G7" s="10"/>
      <c r="H7" s="10"/>
      <c r="I7" s="10"/>
      <c r="J7" s="10"/>
      <c r="K7" s="10">
        <v>42</v>
      </c>
      <c r="L7" s="10"/>
      <c r="M7" s="10">
        <v>24</v>
      </c>
      <c r="N7" s="10"/>
      <c r="O7" s="10">
        <v>12</v>
      </c>
      <c r="P7" s="10"/>
      <c r="Q7" s="10">
        <v>42</v>
      </c>
      <c r="R7" s="10"/>
      <c r="S7" s="13">
        <v>46056</v>
      </c>
      <c r="T7" s="10" t="s">
        <v>53</v>
      </c>
      <c r="U7" s="10"/>
    </row>
    <row r="8" spans="1:21" x14ac:dyDescent="0.25">
      <c r="A8" s="1" t="s">
        <v>89</v>
      </c>
      <c r="B8" s="10">
        <v>838</v>
      </c>
      <c r="C8" s="10">
        <v>9209</v>
      </c>
      <c r="D8" s="19">
        <f t="shared" si="0"/>
        <v>48</v>
      </c>
      <c r="E8" s="10">
        <v>4</v>
      </c>
      <c r="F8" s="10">
        <v>4</v>
      </c>
      <c r="G8" s="10">
        <v>4</v>
      </c>
      <c r="H8" s="10">
        <v>4</v>
      </c>
      <c r="I8" s="10">
        <v>4</v>
      </c>
      <c r="J8" s="10">
        <v>4</v>
      </c>
      <c r="K8" s="10">
        <v>4</v>
      </c>
      <c r="L8" s="10">
        <v>2</v>
      </c>
      <c r="M8" s="10">
        <v>4</v>
      </c>
      <c r="N8" s="10">
        <v>2</v>
      </c>
      <c r="O8" s="10">
        <v>4</v>
      </c>
      <c r="P8" s="10">
        <v>2</v>
      </c>
      <c r="Q8" s="10">
        <v>4</v>
      </c>
      <c r="R8" s="10">
        <v>2</v>
      </c>
      <c r="S8" s="13">
        <v>46056</v>
      </c>
      <c r="T8" s="10" t="s">
        <v>25</v>
      </c>
      <c r="U8" s="10" t="s">
        <v>25</v>
      </c>
    </row>
    <row r="9" spans="1:21" x14ac:dyDescent="0.25">
      <c r="A9" s="1" t="s">
        <v>89</v>
      </c>
      <c r="B9" s="10">
        <v>839</v>
      </c>
      <c r="C9" s="10">
        <v>9218</v>
      </c>
      <c r="D9" s="19">
        <f t="shared" si="0"/>
        <v>48</v>
      </c>
      <c r="E9" s="10">
        <v>4</v>
      </c>
      <c r="F9" s="10">
        <v>4</v>
      </c>
      <c r="G9" s="10">
        <v>4</v>
      </c>
      <c r="H9" s="10">
        <v>4</v>
      </c>
      <c r="I9" s="10">
        <v>4</v>
      </c>
      <c r="J9" s="10">
        <v>4</v>
      </c>
      <c r="K9" s="10">
        <v>4</v>
      </c>
      <c r="L9" s="10">
        <v>2</v>
      </c>
      <c r="M9" s="10">
        <v>4</v>
      </c>
      <c r="N9" s="10">
        <v>2</v>
      </c>
      <c r="O9" s="10">
        <v>4</v>
      </c>
      <c r="P9" s="10">
        <v>2</v>
      </c>
      <c r="Q9" s="10">
        <v>4</v>
      </c>
      <c r="R9" s="10">
        <v>2</v>
      </c>
      <c r="S9" s="13">
        <v>46056</v>
      </c>
      <c r="T9" s="10" t="s">
        <v>23</v>
      </c>
      <c r="U9" s="10" t="s">
        <v>23</v>
      </c>
    </row>
    <row r="10" spans="1:21" x14ac:dyDescent="0.25">
      <c r="A10" s="1" t="s">
        <v>90</v>
      </c>
      <c r="B10" s="10">
        <v>840</v>
      </c>
      <c r="C10" s="10">
        <v>9201</v>
      </c>
      <c r="D10" s="19">
        <f t="shared" si="0"/>
        <v>12</v>
      </c>
      <c r="E10" s="10">
        <v>1</v>
      </c>
      <c r="F10" s="10">
        <v>1</v>
      </c>
      <c r="G10" s="10">
        <v>2</v>
      </c>
      <c r="H10" s="10">
        <v>3</v>
      </c>
      <c r="I10" s="10">
        <v>2</v>
      </c>
      <c r="J10" s="10">
        <v>3</v>
      </c>
      <c r="K10" s="10"/>
      <c r="L10" s="10"/>
      <c r="M10" s="10"/>
      <c r="N10" s="10"/>
      <c r="O10" s="10"/>
      <c r="P10" s="10"/>
      <c r="Q10" s="10"/>
      <c r="R10" s="10"/>
      <c r="S10" s="13">
        <v>46057</v>
      </c>
      <c r="T10" s="10" t="s">
        <v>25</v>
      </c>
      <c r="U10" s="10" t="s">
        <v>25</v>
      </c>
    </row>
    <row r="11" spans="1:21" x14ac:dyDescent="0.25">
      <c r="A11" s="1" t="s">
        <v>90</v>
      </c>
      <c r="B11" s="10">
        <v>841</v>
      </c>
      <c r="C11" s="10">
        <v>9240</v>
      </c>
      <c r="D11" s="19">
        <f t="shared" si="0"/>
        <v>12</v>
      </c>
      <c r="E11" s="10">
        <v>1</v>
      </c>
      <c r="F11" s="10">
        <v>1</v>
      </c>
      <c r="G11" s="10">
        <v>2</v>
      </c>
      <c r="H11" s="10">
        <v>3</v>
      </c>
      <c r="I11" s="10">
        <v>2</v>
      </c>
      <c r="J11" s="10">
        <v>3</v>
      </c>
      <c r="K11" s="10"/>
      <c r="L11" s="10"/>
      <c r="M11" s="10"/>
      <c r="N11" s="10"/>
      <c r="O11" s="10"/>
      <c r="P11" s="10"/>
      <c r="Q11" s="10"/>
      <c r="R11" s="10"/>
      <c r="S11" s="13">
        <v>46057</v>
      </c>
      <c r="T11" s="10" t="s">
        <v>25</v>
      </c>
      <c r="U11" s="10" t="s">
        <v>25</v>
      </c>
    </row>
    <row r="12" spans="1:21" x14ac:dyDescent="0.25">
      <c r="A12" s="1" t="s">
        <v>85</v>
      </c>
      <c r="B12" s="10">
        <v>842</v>
      </c>
      <c r="C12" s="10">
        <v>9202</v>
      </c>
      <c r="D12" s="19">
        <f t="shared" si="0"/>
        <v>14</v>
      </c>
      <c r="E12" s="10">
        <v>2</v>
      </c>
      <c r="F12" s="10"/>
      <c r="G12" s="10">
        <v>2</v>
      </c>
      <c r="H12" s="10"/>
      <c r="I12" s="10">
        <v>2</v>
      </c>
      <c r="J12" s="10"/>
      <c r="K12" s="10">
        <v>2</v>
      </c>
      <c r="L12" s="10"/>
      <c r="M12" s="10">
        <v>2</v>
      </c>
      <c r="N12" s="10"/>
      <c r="O12" s="10">
        <v>2</v>
      </c>
      <c r="P12" s="10"/>
      <c r="Q12" s="10">
        <v>2</v>
      </c>
      <c r="R12" s="10"/>
      <c r="S12" s="13">
        <v>46057</v>
      </c>
      <c r="T12" s="10" t="s">
        <v>53</v>
      </c>
      <c r="U12" s="10" t="s">
        <v>53</v>
      </c>
    </row>
    <row r="13" spans="1:21" x14ac:dyDescent="0.25">
      <c r="A13" s="1" t="s">
        <v>91</v>
      </c>
      <c r="B13" s="10">
        <v>843</v>
      </c>
      <c r="C13" s="10">
        <v>9248</v>
      </c>
      <c r="D13" s="19">
        <f t="shared" si="0"/>
        <v>48</v>
      </c>
      <c r="E13" s="10">
        <v>4</v>
      </c>
      <c r="F13" s="10">
        <v>4</v>
      </c>
      <c r="G13" s="10">
        <v>4</v>
      </c>
      <c r="H13" s="10">
        <v>4</v>
      </c>
      <c r="I13" s="10">
        <v>4</v>
      </c>
      <c r="J13" s="10">
        <v>4</v>
      </c>
      <c r="K13" s="10">
        <v>4</v>
      </c>
      <c r="L13" s="10">
        <v>2</v>
      </c>
      <c r="M13" s="10">
        <v>4</v>
      </c>
      <c r="N13" s="10">
        <v>2</v>
      </c>
      <c r="O13" s="10">
        <v>4</v>
      </c>
      <c r="P13" s="10">
        <v>2</v>
      </c>
      <c r="Q13" s="10">
        <v>4</v>
      </c>
      <c r="R13" s="10">
        <v>2</v>
      </c>
      <c r="S13" s="13">
        <v>46057</v>
      </c>
      <c r="T13" s="10" t="s">
        <v>53</v>
      </c>
      <c r="U13" s="10"/>
    </row>
    <row r="14" spans="1:21" x14ac:dyDescent="0.25">
      <c r="A14" s="1" t="s">
        <v>91</v>
      </c>
      <c r="B14" s="10">
        <v>844</v>
      </c>
      <c r="C14" s="10">
        <v>9248</v>
      </c>
      <c r="D14" s="19">
        <f t="shared" si="0"/>
        <v>48</v>
      </c>
      <c r="E14" s="10">
        <v>4</v>
      </c>
      <c r="F14" s="10">
        <v>4</v>
      </c>
      <c r="G14" s="10">
        <v>4</v>
      </c>
      <c r="H14" s="10">
        <v>4</v>
      </c>
      <c r="I14" s="10">
        <v>4</v>
      </c>
      <c r="J14" s="10">
        <v>4</v>
      </c>
      <c r="K14" s="10">
        <v>4</v>
      </c>
      <c r="L14" s="10">
        <v>2</v>
      </c>
      <c r="M14" s="10">
        <v>4</v>
      </c>
      <c r="N14" s="10">
        <v>2</v>
      </c>
      <c r="O14" s="10">
        <v>4</v>
      </c>
      <c r="P14" s="10">
        <v>2</v>
      </c>
      <c r="Q14" s="10">
        <v>4</v>
      </c>
      <c r="R14" s="10">
        <v>2</v>
      </c>
      <c r="S14" s="13">
        <v>46057</v>
      </c>
      <c r="T14" s="10" t="s">
        <v>53</v>
      </c>
      <c r="U14" s="10"/>
    </row>
    <row r="15" spans="1:21" x14ac:dyDescent="0.25">
      <c r="A15" s="1" t="s">
        <v>91</v>
      </c>
      <c r="B15" s="10">
        <v>845</v>
      </c>
      <c r="C15" s="10">
        <v>9232</v>
      </c>
      <c r="D15" s="19">
        <f t="shared" si="0"/>
        <v>48</v>
      </c>
      <c r="E15" s="10">
        <v>4</v>
      </c>
      <c r="F15" s="10">
        <v>4</v>
      </c>
      <c r="G15" s="10">
        <v>4</v>
      </c>
      <c r="H15" s="10">
        <v>4</v>
      </c>
      <c r="I15" s="10">
        <v>4</v>
      </c>
      <c r="J15" s="10">
        <v>4</v>
      </c>
      <c r="K15" s="10">
        <v>4</v>
      </c>
      <c r="L15" s="10">
        <v>2</v>
      </c>
      <c r="M15" s="10">
        <v>4</v>
      </c>
      <c r="N15" s="10">
        <v>2</v>
      </c>
      <c r="O15" s="10">
        <v>4</v>
      </c>
      <c r="P15" s="10">
        <v>2</v>
      </c>
      <c r="Q15" s="10">
        <v>4</v>
      </c>
      <c r="R15" s="10">
        <v>2</v>
      </c>
      <c r="S15" s="13">
        <v>46057</v>
      </c>
      <c r="T15" s="10" t="s">
        <v>25</v>
      </c>
      <c r="U15" s="10"/>
    </row>
    <row r="16" spans="1:21" x14ac:dyDescent="0.25">
      <c r="A16" s="1" t="s">
        <v>91</v>
      </c>
      <c r="B16" s="10">
        <v>846</v>
      </c>
      <c r="C16" s="10">
        <v>9232</v>
      </c>
      <c r="D16" s="19">
        <f t="shared" si="0"/>
        <v>48</v>
      </c>
      <c r="E16" s="10">
        <v>4</v>
      </c>
      <c r="F16" s="10">
        <v>4</v>
      </c>
      <c r="G16" s="10">
        <v>4</v>
      </c>
      <c r="H16" s="10">
        <v>4</v>
      </c>
      <c r="I16" s="10">
        <v>4</v>
      </c>
      <c r="J16" s="10">
        <v>4</v>
      </c>
      <c r="K16" s="10">
        <v>4</v>
      </c>
      <c r="L16" s="10">
        <v>2</v>
      </c>
      <c r="M16" s="10">
        <v>4</v>
      </c>
      <c r="N16" s="10">
        <v>2</v>
      </c>
      <c r="O16" s="10">
        <v>4</v>
      </c>
      <c r="P16" s="10">
        <v>2</v>
      </c>
      <c r="Q16" s="10">
        <v>4</v>
      </c>
      <c r="R16" s="10">
        <v>2</v>
      </c>
      <c r="S16" s="13">
        <v>46057</v>
      </c>
      <c r="T16" s="10" t="s">
        <v>25</v>
      </c>
      <c r="U16" s="10"/>
    </row>
    <row r="17" spans="1:21" x14ac:dyDescent="0.25">
      <c r="A17" s="1" t="s">
        <v>91</v>
      </c>
      <c r="B17" s="10">
        <v>847</v>
      </c>
      <c r="C17" s="10">
        <v>9245</v>
      </c>
      <c r="D17" s="19">
        <f t="shared" si="0"/>
        <v>48</v>
      </c>
      <c r="E17" s="10">
        <v>4</v>
      </c>
      <c r="F17" s="10">
        <v>4</v>
      </c>
      <c r="G17" s="10">
        <v>4</v>
      </c>
      <c r="H17" s="10">
        <v>4</v>
      </c>
      <c r="I17" s="10">
        <v>4</v>
      </c>
      <c r="J17" s="10">
        <v>4</v>
      </c>
      <c r="K17" s="10">
        <v>4</v>
      </c>
      <c r="L17" s="10">
        <v>2</v>
      </c>
      <c r="M17" s="10">
        <v>4</v>
      </c>
      <c r="N17" s="10">
        <v>2</v>
      </c>
      <c r="O17" s="10">
        <v>4</v>
      </c>
      <c r="P17" s="10">
        <v>2</v>
      </c>
      <c r="Q17" s="10">
        <v>4</v>
      </c>
      <c r="R17" s="10">
        <v>2</v>
      </c>
      <c r="S17" s="13">
        <v>46057</v>
      </c>
      <c r="T17" s="10" t="s">
        <v>25</v>
      </c>
      <c r="U17" s="10" t="s">
        <v>25</v>
      </c>
    </row>
    <row r="18" spans="1:21" x14ac:dyDescent="0.25">
      <c r="A18" s="1" t="s">
        <v>91</v>
      </c>
      <c r="B18" s="10">
        <v>848</v>
      </c>
      <c r="C18" s="10">
        <v>9242</v>
      </c>
      <c r="D18" s="19">
        <f t="shared" si="0"/>
        <v>48</v>
      </c>
      <c r="E18" s="10">
        <v>4</v>
      </c>
      <c r="F18" s="10">
        <v>4</v>
      </c>
      <c r="G18" s="10">
        <v>4</v>
      </c>
      <c r="H18" s="10">
        <v>4</v>
      </c>
      <c r="I18" s="10">
        <v>4</v>
      </c>
      <c r="J18" s="10">
        <v>4</v>
      </c>
      <c r="K18" s="10">
        <v>4</v>
      </c>
      <c r="L18" s="10">
        <v>2</v>
      </c>
      <c r="M18" s="10">
        <v>4</v>
      </c>
      <c r="N18" s="10">
        <v>2</v>
      </c>
      <c r="O18" s="10">
        <v>4</v>
      </c>
      <c r="P18" s="10">
        <v>2</v>
      </c>
      <c r="Q18" s="10">
        <v>4</v>
      </c>
      <c r="R18" s="10">
        <v>2</v>
      </c>
      <c r="S18" s="13">
        <v>46057</v>
      </c>
      <c r="T18" s="10" t="s">
        <v>53</v>
      </c>
      <c r="U18" s="10"/>
    </row>
    <row r="19" spans="1:21" x14ac:dyDescent="0.25">
      <c r="A19" s="1" t="s">
        <v>91</v>
      </c>
      <c r="B19" s="10">
        <v>849</v>
      </c>
      <c r="C19" s="10">
        <v>9231</v>
      </c>
      <c r="D19" s="19">
        <f t="shared" si="0"/>
        <v>48</v>
      </c>
      <c r="E19" s="10">
        <v>4</v>
      </c>
      <c r="F19" s="10">
        <v>4</v>
      </c>
      <c r="G19" s="10">
        <v>4</v>
      </c>
      <c r="H19" s="10">
        <v>4</v>
      </c>
      <c r="I19" s="10">
        <v>4</v>
      </c>
      <c r="J19" s="10">
        <v>4</v>
      </c>
      <c r="K19" s="10">
        <v>4</v>
      </c>
      <c r="L19" s="10">
        <v>2</v>
      </c>
      <c r="M19" s="10">
        <v>4</v>
      </c>
      <c r="N19" s="10">
        <v>2</v>
      </c>
      <c r="O19" s="10">
        <v>4</v>
      </c>
      <c r="P19" s="10">
        <v>2</v>
      </c>
      <c r="Q19" s="10">
        <v>4</v>
      </c>
      <c r="R19" s="10">
        <v>2</v>
      </c>
      <c r="S19" s="13">
        <v>46057</v>
      </c>
      <c r="T19" s="10" t="s">
        <v>25</v>
      </c>
      <c r="U19" s="10" t="s">
        <v>25</v>
      </c>
    </row>
    <row r="20" spans="1:21" x14ac:dyDescent="0.25">
      <c r="A20" s="1" t="s">
        <v>91</v>
      </c>
      <c r="B20" s="10">
        <v>850</v>
      </c>
      <c r="C20" s="10">
        <v>9238</v>
      </c>
      <c r="D20" s="19">
        <f t="shared" si="0"/>
        <v>48</v>
      </c>
      <c r="E20" s="10">
        <v>4</v>
      </c>
      <c r="F20" s="10">
        <v>4</v>
      </c>
      <c r="G20" s="10">
        <v>4</v>
      </c>
      <c r="H20" s="10">
        <v>4</v>
      </c>
      <c r="I20" s="10">
        <v>4</v>
      </c>
      <c r="J20" s="10">
        <v>4</v>
      </c>
      <c r="K20" s="10">
        <v>4</v>
      </c>
      <c r="L20" s="10">
        <v>2</v>
      </c>
      <c r="M20" s="10">
        <v>4</v>
      </c>
      <c r="N20" s="10">
        <v>2</v>
      </c>
      <c r="O20" s="10">
        <v>4</v>
      </c>
      <c r="P20" s="10">
        <v>2</v>
      </c>
      <c r="Q20" s="10">
        <v>4</v>
      </c>
      <c r="R20" s="10">
        <v>2</v>
      </c>
      <c r="S20" s="13">
        <v>46057</v>
      </c>
      <c r="T20" s="10"/>
      <c r="U20" s="10"/>
    </row>
    <row r="21" spans="1:21" x14ac:dyDescent="0.25">
      <c r="A21" s="1" t="s">
        <v>29</v>
      </c>
      <c r="B21" s="10">
        <v>852</v>
      </c>
      <c r="C21" s="10">
        <v>9232</v>
      </c>
      <c r="D21" s="19">
        <f t="shared" si="0"/>
        <v>24</v>
      </c>
      <c r="E21" s="10"/>
      <c r="F21" s="10"/>
      <c r="G21" s="10"/>
      <c r="H21" s="10"/>
      <c r="I21" s="10"/>
      <c r="J21" s="10"/>
      <c r="K21" s="10">
        <v>4</v>
      </c>
      <c r="L21" s="10">
        <v>2</v>
      </c>
      <c r="M21" s="10">
        <v>4</v>
      </c>
      <c r="N21" s="10">
        <v>2</v>
      </c>
      <c r="O21" s="10">
        <v>4</v>
      </c>
      <c r="P21" s="10">
        <v>2</v>
      </c>
      <c r="Q21" s="10">
        <v>4</v>
      </c>
      <c r="R21" s="10">
        <v>2</v>
      </c>
      <c r="S21" s="13">
        <v>46058</v>
      </c>
      <c r="T21" s="10" t="s">
        <v>25</v>
      </c>
      <c r="U21" s="10"/>
    </row>
    <row r="22" spans="1:21" x14ac:dyDescent="0.25">
      <c r="A22" s="1" t="s">
        <v>29</v>
      </c>
      <c r="B22" s="10">
        <v>853</v>
      </c>
      <c r="C22" s="10">
        <v>9248</v>
      </c>
      <c r="D22" s="19">
        <f t="shared" si="0"/>
        <v>24</v>
      </c>
      <c r="E22" s="10"/>
      <c r="F22" s="10"/>
      <c r="G22" s="10"/>
      <c r="H22" s="10"/>
      <c r="I22" s="10"/>
      <c r="J22" s="10"/>
      <c r="K22" s="10">
        <v>4</v>
      </c>
      <c r="L22" s="10">
        <v>2</v>
      </c>
      <c r="M22" s="10">
        <v>4</v>
      </c>
      <c r="N22" s="10">
        <v>2</v>
      </c>
      <c r="O22" s="10">
        <v>4</v>
      </c>
      <c r="P22" s="10">
        <v>2</v>
      </c>
      <c r="Q22" s="10">
        <v>4</v>
      </c>
      <c r="R22" s="10">
        <v>2</v>
      </c>
      <c r="S22" s="13">
        <v>46058</v>
      </c>
      <c r="T22" s="10" t="s">
        <v>53</v>
      </c>
      <c r="U22" s="10" t="s">
        <v>53</v>
      </c>
    </row>
    <row r="23" spans="1:21" x14ac:dyDescent="0.25">
      <c r="A23" s="1" t="s">
        <v>29</v>
      </c>
      <c r="B23" s="10">
        <v>854</v>
      </c>
      <c r="C23" s="10">
        <v>9237</v>
      </c>
      <c r="D23" s="19">
        <f t="shared" si="0"/>
        <v>24</v>
      </c>
      <c r="E23" s="10"/>
      <c r="F23" s="10"/>
      <c r="G23" s="10"/>
      <c r="H23" s="10"/>
      <c r="I23" s="10"/>
      <c r="J23" s="10"/>
      <c r="K23" s="10">
        <v>4</v>
      </c>
      <c r="L23" s="10">
        <v>2</v>
      </c>
      <c r="M23" s="10">
        <v>4</v>
      </c>
      <c r="N23" s="10">
        <v>2</v>
      </c>
      <c r="O23" s="10">
        <v>4</v>
      </c>
      <c r="P23" s="10">
        <v>2</v>
      </c>
      <c r="Q23" s="10">
        <v>4</v>
      </c>
      <c r="R23" s="10">
        <v>2</v>
      </c>
      <c r="S23" s="13">
        <v>46058</v>
      </c>
      <c r="T23" s="10"/>
      <c r="U23" s="10"/>
    </row>
    <row r="24" spans="1:21" x14ac:dyDescent="0.25">
      <c r="A24" s="1" t="s">
        <v>29</v>
      </c>
      <c r="B24" s="10">
        <v>855</v>
      </c>
      <c r="C24" s="10">
        <v>9232</v>
      </c>
      <c r="D24" s="19">
        <f t="shared" si="0"/>
        <v>24</v>
      </c>
      <c r="E24" s="10"/>
      <c r="F24" s="10"/>
      <c r="G24" s="10"/>
      <c r="H24" s="10"/>
      <c r="I24" s="10"/>
      <c r="J24" s="10"/>
      <c r="K24" s="10">
        <v>4</v>
      </c>
      <c r="L24" s="10">
        <v>2</v>
      </c>
      <c r="M24" s="10">
        <v>4</v>
      </c>
      <c r="N24" s="10">
        <v>2</v>
      </c>
      <c r="O24" s="10">
        <v>4</v>
      </c>
      <c r="P24" s="10">
        <v>2</v>
      </c>
      <c r="Q24" s="10">
        <v>4</v>
      </c>
      <c r="R24" s="10">
        <v>2</v>
      </c>
      <c r="S24" s="13">
        <v>46058</v>
      </c>
      <c r="T24" s="10"/>
      <c r="U24" s="10"/>
    </row>
    <row r="25" spans="1:21" x14ac:dyDescent="0.25">
      <c r="A25" s="1" t="s">
        <v>29</v>
      </c>
      <c r="B25" s="10">
        <v>856</v>
      </c>
      <c r="C25" s="10">
        <v>1002</v>
      </c>
      <c r="D25" s="19">
        <f t="shared" si="0"/>
        <v>24</v>
      </c>
      <c r="E25" s="10"/>
      <c r="F25" s="10"/>
      <c r="G25" s="10"/>
      <c r="H25" s="10"/>
      <c r="I25" s="10"/>
      <c r="J25" s="10"/>
      <c r="K25" s="10">
        <v>4</v>
      </c>
      <c r="L25" s="10">
        <v>2</v>
      </c>
      <c r="M25" s="10">
        <v>4</v>
      </c>
      <c r="N25" s="10">
        <v>2</v>
      </c>
      <c r="O25" s="10">
        <v>4</v>
      </c>
      <c r="P25" s="10">
        <v>2</v>
      </c>
      <c r="Q25" s="10">
        <v>4</v>
      </c>
      <c r="R25" s="10">
        <v>2</v>
      </c>
      <c r="S25" s="13">
        <v>46058</v>
      </c>
      <c r="T25" s="10"/>
      <c r="U25" s="10"/>
    </row>
    <row r="26" spans="1:21" x14ac:dyDescent="0.25">
      <c r="A26" s="1" t="s">
        <v>29</v>
      </c>
      <c r="B26" s="10">
        <v>857</v>
      </c>
      <c r="C26" s="10">
        <v>9213</v>
      </c>
      <c r="D26" s="19">
        <f t="shared" si="0"/>
        <v>24</v>
      </c>
      <c r="E26" s="10"/>
      <c r="F26" s="10"/>
      <c r="G26" s="10"/>
      <c r="H26" s="10"/>
      <c r="I26" s="10"/>
      <c r="J26" s="10"/>
      <c r="K26" s="10">
        <v>4</v>
      </c>
      <c r="L26" s="10">
        <v>2</v>
      </c>
      <c r="M26" s="10">
        <v>4</v>
      </c>
      <c r="N26" s="10">
        <v>2</v>
      </c>
      <c r="O26" s="10">
        <v>4</v>
      </c>
      <c r="P26" s="10">
        <v>2</v>
      </c>
      <c r="Q26" s="10">
        <v>4</v>
      </c>
      <c r="R26" s="10">
        <v>2</v>
      </c>
      <c r="S26" s="13">
        <v>46058</v>
      </c>
      <c r="T26" s="10" t="s">
        <v>53</v>
      </c>
      <c r="U26" s="10"/>
    </row>
    <row r="27" spans="1:21" x14ac:dyDescent="0.25">
      <c r="A27" s="1" t="s">
        <v>29</v>
      </c>
      <c r="B27" s="10">
        <v>858</v>
      </c>
      <c r="C27" s="10">
        <v>9243</v>
      </c>
      <c r="D27" s="19">
        <f t="shared" si="0"/>
        <v>24</v>
      </c>
      <c r="E27" s="10"/>
      <c r="F27" s="10"/>
      <c r="G27" s="10"/>
      <c r="H27" s="10"/>
      <c r="I27" s="10"/>
      <c r="J27" s="10"/>
      <c r="K27" s="10">
        <v>4</v>
      </c>
      <c r="L27" s="10">
        <v>2</v>
      </c>
      <c r="M27" s="10">
        <v>4</v>
      </c>
      <c r="N27" s="10">
        <v>2</v>
      </c>
      <c r="O27" s="10">
        <v>4</v>
      </c>
      <c r="P27" s="10">
        <v>2</v>
      </c>
      <c r="Q27" s="10">
        <v>4</v>
      </c>
      <c r="R27" s="10">
        <v>2</v>
      </c>
      <c r="S27" s="13">
        <v>46058</v>
      </c>
      <c r="T27" s="10" t="s">
        <v>53</v>
      </c>
      <c r="U27" s="10" t="s">
        <v>53</v>
      </c>
    </row>
    <row r="28" spans="1:21" x14ac:dyDescent="0.25">
      <c r="A28" s="1" t="s">
        <v>29</v>
      </c>
      <c r="B28" s="10">
        <v>859</v>
      </c>
      <c r="C28" s="10">
        <v>9241</v>
      </c>
      <c r="D28" s="19">
        <f t="shared" si="0"/>
        <v>24</v>
      </c>
      <c r="E28" s="10"/>
      <c r="F28" s="10"/>
      <c r="G28" s="10"/>
      <c r="H28" s="10"/>
      <c r="I28" s="10"/>
      <c r="J28" s="10"/>
      <c r="K28" s="10">
        <v>4</v>
      </c>
      <c r="L28" s="10">
        <v>2</v>
      </c>
      <c r="M28" s="10">
        <v>4</v>
      </c>
      <c r="N28" s="10">
        <v>2</v>
      </c>
      <c r="O28" s="10">
        <v>4</v>
      </c>
      <c r="P28" s="10">
        <v>2</v>
      </c>
      <c r="Q28" s="10">
        <v>4</v>
      </c>
      <c r="R28" s="10">
        <v>2</v>
      </c>
      <c r="S28" s="13">
        <v>46058</v>
      </c>
      <c r="T28" s="10" t="s">
        <v>23</v>
      </c>
      <c r="U28" s="10" t="s">
        <v>23</v>
      </c>
    </row>
    <row r="29" spans="1:21" x14ac:dyDescent="0.25">
      <c r="A29" s="1" t="s">
        <v>29</v>
      </c>
      <c r="B29" s="10">
        <v>860</v>
      </c>
      <c r="C29" s="10">
        <v>9213</v>
      </c>
      <c r="D29" s="19">
        <f t="shared" si="0"/>
        <v>24</v>
      </c>
      <c r="E29" s="10"/>
      <c r="F29" s="10"/>
      <c r="G29" s="10"/>
      <c r="H29" s="10"/>
      <c r="I29" s="10"/>
      <c r="J29" s="10"/>
      <c r="K29" s="10">
        <v>4</v>
      </c>
      <c r="L29" s="10">
        <v>2</v>
      </c>
      <c r="M29" s="10">
        <v>4</v>
      </c>
      <c r="N29" s="10">
        <v>2</v>
      </c>
      <c r="O29" s="10">
        <v>4</v>
      </c>
      <c r="P29" s="10">
        <v>2</v>
      </c>
      <c r="Q29" s="10">
        <v>4</v>
      </c>
      <c r="R29" s="10">
        <v>2</v>
      </c>
      <c r="S29" s="13">
        <v>46058</v>
      </c>
      <c r="T29" s="10"/>
      <c r="U29" s="10"/>
    </row>
    <row r="30" spans="1:21" x14ac:dyDescent="0.25">
      <c r="A30" s="1" t="s">
        <v>29</v>
      </c>
      <c r="B30" s="10">
        <v>861</v>
      </c>
      <c r="C30" s="10">
        <v>9245</v>
      </c>
      <c r="D30" s="19">
        <f t="shared" si="0"/>
        <v>24</v>
      </c>
      <c r="E30" s="10"/>
      <c r="F30" s="10"/>
      <c r="G30" s="10"/>
      <c r="H30" s="10"/>
      <c r="I30" s="10"/>
      <c r="J30" s="10"/>
      <c r="K30" s="10">
        <v>4</v>
      </c>
      <c r="L30" s="10">
        <v>2</v>
      </c>
      <c r="M30" s="10">
        <v>4</v>
      </c>
      <c r="N30" s="10">
        <v>2</v>
      </c>
      <c r="O30" s="10">
        <v>4</v>
      </c>
      <c r="P30" s="10">
        <v>2</v>
      </c>
      <c r="Q30" s="10">
        <v>4</v>
      </c>
      <c r="R30" s="10">
        <v>2</v>
      </c>
      <c r="S30" s="13">
        <v>46058</v>
      </c>
      <c r="T30" s="10" t="s">
        <v>25</v>
      </c>
      <c r="U30" s="10" t="s">
        <v>25</v>
      </c>
    </row>
    <row r="31" spans="1:21" x14ac:dyDescent="0.25">
      <c r="A31" s="1" t="s">
        <v>29</v>
      </c>
      <c r="B31" s="10">
        <v>862</v>
      </c>
      <c r="C31" s="10">
        <v>9240</v>
      </c>
      <c r="D31" s="19">
        <f t="shared" si="0"/>
        <v>24</v>
      </c>
      <c r="E31" s="10"/>
      <c r="F31" s="10"/>
      <c r="G31" s="10"/>
      <c r="H31" s="10"/>
      <c r="I31" s="10"/>
      <c r="J31" s="10"/>
      <c r="K31" s="10">
        <v>4</v>
      </c>
      <c r="L31" s="10">
        <v>2</v>
      </c>
      <c r="M31" s="10">
        <v>4</v>
      </c>
      <c r="N31" s="10">
        <v>2</v>
      </c>
      <c r="O31" s="10">
        <v>4</v>
      </c>
      <c r="P31" s="10">
        <v>2</v>
      </c>
      <c r="Q31" s="10">
        <v>4</v>
      </c>
      <c r="R31" s="10">
        <v>2</v>
      </c>
      <c r="S31" s="13">
        <v>46058</v>
      </c>
      <c r="T31" s="10" t="s">
        <v>53</v>
      </c>
      <c r="U31" s="10" t="s">
        <v>53</v>
      </c>
    </row>
    <row r="32" spans="1:21" x14ac:dyDescent="0.25">
      <c r="A32" s="1" t="s">
        <v>29</v>
      </c>
      <c r="B32" s="10">
        <v>863</v>
      </c>
      <c r="C32" s="10">
        <v>9246</v>
      </c>
      <c r="D32" s="19">
        <f t="shared" si="0"/>
        <v>24</v>
      </c>
      <c r="E32" s="10"/>
      <c r="F32" s="10"/>
      <c r="G32" s="10"/>
      <c r="H32" s="10"/>
      <c r="I32" s="10"/>
      <c r="J32" s="10"/>
      <c r="K32" s="10">
        <v>4</v>
      </c>
      <c r="L32" s="10">
        <v>2</v>
      </c>
      <c r="M32" s="10">
        <v>4</v>
      </c>
      <c r="N32" s="10">
        <v>2</v>
      </c>
      <c r="O32" s="10">
        <v>4</v>
      </c>
      <c r="P32" s="10">
        <v>2</v>
      </c>
      <c r="Q32" s="10">
        <v>4</v>
      </c>
      <c r="R32" s="10">
        <v>2</v>
      </c>
      <c r="S32" s="13">
        <v>46058</v>
      </c>
      <c r="T32" s="10" t="s">
        <v>53</v>
      </c>
      <c r="U32" s="10" t="s">
        <v>53</v>
      </c>
    </row>
    <row r="33" spans="1:21" x14ac:dyDescent="0.25">
      <c r="A33" s="1" t="s">
        <v>29</v>
      </c>
      <c r="B33" s="10">
        <v>864</v>
      </c>
      <c r="C33" s="10">
        <v>9218</v>
      </c>
      <c r="D33" s="19">
        <f t="shared" si="0"/>
        <v>24</v>
      </c>
      <c r="E33" s="10"/>
      <c r="F33" s="10"/>
      <c r="G33" s="10"/>
      <c r="H33" s="10"/>
      <c r="I33" s="10"/>
      <c r="J33" s="10"/>
      <c r="K33" s="10">
        <v>4</v>
      </c>
      <c r="L33" s="10">
        <v>2</v>
      </c>
      <c r="M33" s="10">
        <v>4</v>
      </c>
      <c r="N33" s="10">
        <v>2</v>
      </c>
      <c r="O33" s="10">
        <v>4</v>
      </c>
      <c r="P33" s="10">
        <v>2</v>
      </c>
      <c r="Q33" s="10">
        <v>4</v>
      </c>
      <c r="R33" s="10">
        <v>2</v>
      </c>
      <c r="S33" s="13">
        <v>46058</v>
      </c>
      <c r="T33" s="10"/>
      <c r="U33" s="10"/>
    </row>
    <row r="34" spans="1:21" x14ac:dyDescent="0.25">
      <c r="A34" s="1" t="s">
        <v>29</v>
      </c>
      <c r="B34" s="10">
        <v>865</v>
      </c>
      <c r="C34" s="10">
        <v>9269</v>
      </c>
      <c r="D34" s="19">
        <f>SUM(E34:R34)</f>
        <v>24</v>
      </c>
      <c r="E34" s="10"/>
      <c r="F34" s="10"/>
      <c r="G34" s="10"/>
      <c r="H34" s="10"/>
      <c r="I34" s="10"/>
      <c r="J34" s="10"/>
      <c r="K34" s="10">
        <v>4</v>
      </c>
      <c r="L34" s="10">
        <v>2</v>
      </c>
      <c r="M34" s="10">
        <v>4</v>
      </c>
      <c r="N34" s="10">
        <v>2</v>
      </c>
      <c r="O34" s="10">
        <v>4</v>
      </c>
      <c r="P34" s="10">
        <v>2</v>
      </c>
      <c r="Q34" s="10">
        <v>4</v>
      </c>
      <c r="R34" s="10">
        <v>2</v>
      </c>
      <c r="S34" s="13">
        <v>46058</v>
      </c>
      <c r="T34" s="10"/>
      <c r="U34" s="10"/>
    </row>
    <row r="35" spans="1:21" x14ac:dyDescent="0.25">
      <c r="A35" s="1" t="s">
        <v>92</v>
      </c>
      <c r="B35" s="10">
        <v>868</v>
      </c>
      <c r="C35" s="10">
        <v>9205</v>
      </c>
      <c r="D35" s="19">
        <f t="shared" ref="D35:D38" si="1">SUM(E35:R35)</f>
        <v>36</v>
      </c>
      <c r="E35" s="10">
        <v>2</v>
      </c>
      <c r="F35" s="10">
        <v>2</v>
      </c>
      <c r="G35" s="10">
        <v>2</v>
      </c>
      <c r="H35" s="10">
        <v>2</v>
      </c>
      <c r="I35" s="10">
        <v>2</v>
      </c>
      <c r="J35" s="10">
        <v>2</v>
      </c>
      <c r="K35" s="10">
        <v>4</v>
      </c>
      <c r="L35" s="10">
        <v>2</v>
      </c>
      <c r="M35" s="10">
        <v>4</v>
      </c>
      <c r="N35" s="10">
        <v>2</v>
      </c>
      <c r="O35" s="10">
        <v>4</v>
      </c>
      <c r="P35" s="10">
        <v>2</v>
      </c>
      <c r="Q35" s="10">
        <v>4</v>
      </c>
      <c r="R35" s="10">
        <v>2</v>
      </c>
      <c r="S35" s="13">
        <v>46059</v>
      </c>
      <c r="T35" s="10"/>
      <c r="U35" s="10"/>
    </row>
    <row r="36" spans="1:21" x14ac:dyDescent="0.25">
      <c r="A36" s="1" t="s">
        <v>92</v>
      </c>
      <c r="B36" s="10">
        <v>869</v>
      </c>
      <c r="C36" s="10">
        <v>9228</v>
      </c>
      <c r="D36" s="19">
        <f t="shared" si="1"/>
        <v>36</v>
      </c>
      <c r="E36" s="10">
        <v>2</v>
      </c>
      <c r="F36" s="10">
        <v>2</v>
      </c>
      <c r="G36" s="10">
        <v>2</v>
      </c>
      <c r="H36" s="10">
        <v>2</v>
      </c>
      <c r="I36" s="10">
        <v>2</v>
      </c>
      <c r="J36" s="10">
        <v>2</v>
      </c>
      <c r="K36" s="10">
        <v>4</v>
      </c>
      <c r="L36" s="10">
        <v>2</v>
      </c>
      <c r="M36" s="10">
        <v>4</v>
      </c>
      <c r="N36" s="10">
        <v>2</v>
      </c>
      <c r="O36" s="10">
        <v>4</v>
      </c>
      <c r="P36" s="10">
        <v>2</v>
      </c>
      <c r="Q36" s="10">
        <v>4</v>
      </c>
      <c r="R36" s="10">
        <v>2</v>
      </c>
      <c r="S36" s="13">
        <v>46059</v>
      </c>
      <c r="T36" s="10"/>
      <c r="U36" s="10"/>
    </row>
    <row r="37" spans="1:21" x14ac:dyDescent="0.25">
      <c r="A37" s="1" t="s">
        <v>92</v>
      </c>
      <c r="B37" s="10">
        <v>870</v>
      </c>
      <c r="C37" s="10">
        <v>9225</v>
      </c>
      <c r="D37" s="19">
        <f t="shared" si="1"/>
        <v>36</v>
      </c>
      <c r="E37" s="10">
        <v>2</v>
      </c>
      <c r="F37" s="10">
        <v>2</v>
      </c>
      <c r="G37" s="10">
        <v>2</v>
      </c>
      <c r="H37" s="10">
        <v>2</v>
      </c>
      <c r="I37" s="10">
        <v>2</v>
      </c>
      <c r="J37" s="10">
        <v>2</v>
      </c>
      <c r="K37" s="10">
        <v>4</v>
      </c>
      <c r="L37" s="10">
        <v>2</v>
      </c>
      <c r="M37" s="10">
        <v>4</v>
      </c>
      <c r="N37" s="10">
        <v>2</v>
      </c>
      <c r="O37" s="10">
        <v>4</v>
      </c>
      <c r="P37" s="10">
        <v>2</v>
      </c>
      <c r="Q37" s="10">
        <v>4</v>
      </c>
      <c r="R37" s="10">
        <v>2</v>
      </c>
      <c r="S37" s="13">
        <v>46059</v>
      </c>
      <c r="T37" s="10" t="s">
        <v>25</v>
      </c>
      <c r="U37" s="10" t="s">
        <v>23</v>
      </c>
    </row>
    <row r="38" spans="1:21" x14ac:dyDescent="0.25">
      <c r="A38" s="1" t="s">
        <v>92</v>
      </c>
      <c r="B38" s="10">
        <v>871</v>
      </c>
      <c r="C38" s="10">
        <v>9208</v>
      </c>
      <c r="D38" s="19">
        <f t="shared" si="1"/>
        <v>36</v>
      </c>
      <c r="E38" s="10">
        <v>2</v>
      </c>
      <c r="F38" s="10">
        <v>2</v>
      </c>
      <c r="G38" s="10">
        <v>2</v>
      </c>
      <c r="H38" s="10">
        <v>2</v>
      </c>
      <c r="I38" s="10">
        <v>2</v>
      </c>
      <c r="J38" s="10">
        <v>2</v>
      </c>
      <c r="K38" s="10">
        <v>4</v>
      </c>
      <c r="L38" s="10">
        <v>2</v>
      </c>
      <c r="M38" s="10">
        <v>4</v>
      </c>
      <c r="N38" s="10">
        <v>2</v>
      </c>
      <c r="O38" s="10">
        <v>4</v>
      </c>
      <c r="P38" s="10">
        <v>2</v>
      </c>
      <c r="Q38" s="10">
        <v>4</v>
      </c>
      <c r="R38" s="10">
        <v>2</v>
      </c>
      <c r="S38" s="13">
        <v>46059</v>
      </c>
      <c r="T38" s="10"/>
      <c r="U38" s="10" t="s">
        <v>23</v>
      </c>
    </row>
    <row r="39" spans="1:21" x14ac:dyDescent="0.25">
      <c r="D39" s="28">
        <f>SUM(D3:D38)</f>
        <v>1166</v>
      </c>
    </row>
  </sheetData>
  <mergeCells count="4">
    <mergeCell ref="A1:D1"/>
    <mergeCell ref="E1:R1"/>
    <mergeCell ref="S1:S2"/>
    <mergeCell ref="T1:U1"/>
  </mergeCells>
  <pageMargins left="0.7" right="0.7" top="0.75" bottom="0.75" header="0.3" footer="0.3"/>
  <ignoredErrors>
    <ignoredError sqref="D3:D18 D19:D20 D21:D33 D34:D38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3"/>
  <sheetViews>
    <sheetView topLeftCell="A16" workbookViewId="0">
      <selection activeCell="C5" sqref="C5"/>
    </sheetView>
  </sheetViews>
  <sheetFormatPr defaultColWidth="11.42578125" defaultRowHeight="15" x14ac:dyDescent="0.25"/>
  <cols>
    <col min="1" max="1" width="23" customWidth="1"/>
    <col min="4" max="4" width="11.140625" customWidth="1"/>
    <col min="5" max="5" width="5" customWidth="1"/>
    <col min="6" max="6" width="5.140625" customWidth="1"/>
    <col min="7" max="7" width="4.42578125" customWidth="1"/>
    <col min="8" max="8" width="5.7109375" customWidth="1"/>
    <col min="9" max="9" width="4.85546875" customWidth="1"/>
    <col min="10" max="10" width="5.5703125" customWidth="1"/>
    <col min="11" max="11" width="4.140625" customWidth="1"/>
    <col min="12" max="12" width="5.7109375" customWidth="1"/>
    <col min="13" max="13" width="5" customWidth="1"/>
    <col min="14" max="14" width="5.28515625" customWidth="1"/>
    <col min="15" max="15" width="4.140625" customWidth="1"/>
    <col min="16" max="17" width="5.140625" customWidth="1"/>
    <col min="18" max="18" width="5.5703125" customWidth="1"/>
    <col min="19" max="19" width="17.5703125" customWidth="1"/>
    <col min="20" max="20" width="12.7109375" customWidth="1"/>
    <col min="21" max="21" width="13" customWidth="1"/>
  </cols>
  <sheetData>
    <row r="1" spans="1:21" ht="18.75" x14ac:dyDescent="0.25">
      <c r="A1" s="63" t="s">
        <v>93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66"/>
      <c r="T2" s="22" t="s">
        <v>9</v>
      </c>
      <c r="U2" s="22" t="s">
        <v>10</v>
      </c>
    </row>
    <row r="3" spans="1:21" x14ac:dyDescent="0.25">
      <c r="A3" s="1" t="s">
        <v>45</v>
      </c>
      <c r="B3" s="10">
        <v>872</v>
      </c>
      <c r="C3" s="10">
        <v>9218</v>
      </c>
      <c r="D3" s="19">
        <f>SUM(E3:R3)</f>
        <v>24</v>
      </c>
      <c r="E3" s="10">
        <v>2</v>
      </c>
      <c r="F3" s="10">
        <v>2</v>
      </c>
      <c r="G3" s="10">
        <v>2</v>
      </c>
      <c r="H3" s="10">
        <v>2</v>
      </c>
      <c r="I3" s="10">
        <v>2</v>
      </c>
      <c r="J3" s="10">
        <v>2</v>
      </c>
      <c r="K3" s="10">
        <v>2</v>
      </c>
      <c r="L3" s="10">
        <v>1</v>
      </c>
      <c r="M3" s="10">
        <v>2</v>
      </c>
      <c r="N3" s="10">
        <v>1</v>
      </c>
      <c r="O3" s="10">
        <v>2</v>
      </c>
      <c r="P3" s="10">
        <v>1</v>
      </c>
      <c r="Q3" s="10">
        <v>2</v>
      </c>
      <c r="R3" s="10">
        <v>1</v>
      </c>
      <c r="S3" s="13">
        <v>46062</v>
      </c>
      <c r="T3" s="10"/>
      <c r="U3" s="10"/>
    </row>
    <row r="4" spans="1:21" x14ac:dyDescent="0.25">
      <c r="A4" s="1" t="s">
        <v>85</v>
      </c>
      <c r="B4" s="10">
        <v>873</v>
      </c>
      <c r="C4" s="10">
        <v>9279</v>
      </c>
      <c r="D4" s="19">
        <f t="shared" ref="D4:D35" si="0">SUM(E4:R4)</f>
        <v>18</v>
      </c>
      <c r="E4" s="10">
        <v>2</v>
      </c>
      <c r="F4" s="10"/>
      <c r="G4" s="10">
        <v>2</v>
      </c>
      <c r="H4" s="10"/>
      <c r="I4" s="10">
        <v>2</v>
      </c>
      <c r="J4" s="10"/>
      <c r="K4" s="10">
        <v>3</v>
      </c>
      <c r="L4" s="10"/>
      <c r="M4" s="10">
        <v>3</v>
      </c>
      <c r="N4" s="10"/>
      <c r="O4" s="10">
        <v>3</v>
      </c>
      <c r="P4" s="10"/>
      <c r="Q4" s="10">
        <v>3</v>
      </c>
      <c r="R4" s="10"/>
      <c r="S4" s="13">
        <v>46062</v>
      </c>
      <c r="T4" s="10"/>
      <c r="U4" s="10"/>
    </row>
    <row r="5" spans="1:21" x14ac:dyDescent="0.25">
      <c r="A5" s="1" t="s">
        <v>45</v>
      </c>
      <c r="B5" s="10">
        <v>874</v>
      </c>
      <c r="C5" s="10">
        <v>9213</v>
      </c>
      <c r="D5" s="19">
        <f t="shared" si="0"/>
        <v>48</v>
      </c>
      <c r="E5" s="10">
        <v>4</v>
      </c>
      <c r="F5" s="10">
        <v>4</v>
      </c>
      <c r="G5" s="10">
        <v>4</v>
      </c>
      <c r="H5" s="10">
        <v>4</v>
      </c>
      <c r="I5" s="10">
        <v>4</v>
      </c>
      <c r="J5" s="10">
        <v>4</v>
      </c>
      <c r="K5" s="10">
        <v>4</v>
      </c>
      <c r="L5" s="10">
        <v>2</v>
      </c>
      <c r="M5" s="10">
        <v>4</v>
      </c>
      <c r="N5" s="10">
        <v>2</v>
      </c>
      <c r="O5" s="10">
        <v>4</v>
      </c>
      <c r="P5" s="10">
        <v>2</v>
      </c>
      <c r="Q5" s="10">
        <v>4</v>
      </c>
      <c r="R5" s="10">
        <v>2</v>
      </c>
      <c r="S5" s="13">
        <v>46063</v>
      </c>
      <c r="T5" s="10" t="s">
        <v>53</v>
      </c>
      <c r="U5" s="10"/>
    </row>
    <row r="6" spans="1:21" x14ac:dyDescent="0.25">
      <c r="A6" s="1" t="s">
        <v>45</v>
      </c>
      <c r="B6" s="10">
        <v>875</v>
      </c>
      <c r="C6" s="10">
        <v>1002</v>
      </c>
      <c r="D6" s="19">
        <f t="shared" si="0"/>
        <v>48</v>
      </c>
      <c r="E6" s="10">
        <v>4</v>
      </c>
      <c r="F6" s="10">
        <v>4</v>
      </c>
      <c r="G6" s="10">
        <v>4</v>
      </c>
      <c r="H6" s="10">
        <v>4</v>
      </c>
      <c r="I6" s="10">
        <v>4</v>
      </c>
      <c r="J6" s="10">
        <v>4</v>
      </c>
      <c r="K6" s="10">
        <v>4</v>
      </c>
      <c r="L6" s="10">
        <v>2</v>
      </c>
      <c r="M6" s="10">
        <v>4</v>
      </c>
      <c r="N6" s="10">
        <v>2</v>
      </c>
      <c r="O6" s="10">
        <v>4</v>
      </c>
      <c r="P6" s="10">
        <v>2</v>
      </c>
      <c r="Q6" s="10">
        <v>4</v>
      </c>
      <c r="R6" s="10">
        <v>2</v>
      </c>
      <c r="S6" s="13">
        <v>46063</v>
      </c>
      <c r="T6" s="10" t="s">
        <v>59</v>
      </c>
      <c r="U6" s="10" t="s">
        <v>59</v>
      </c>
    </row>
    <row r="7" spans="1:21" x14ac:dyDescent="0.25">
      <c r="A7" s="1" t="s">
        <v>29</v>
      </c>
      <c r="B7" s="10">
        <v>876</v>
      </c>
      <c r="C7" s="29">
        <v>9235</v>
      </c>
      <c r="D7" s="19">
        <f t="shared" si="0"/>
        <v>24</v>
      </c>
      <c r="E7" s="10"/>
      <c r="F7" s="10"/>
      <c r="G7" s="10"/>
      <c r="H7" s="10"/>
      <c r="I7" s="10"/>
      <c r="J7" s="10"/>
      <c r="K7" s="10">
        <v>4</v>
      </c>
      <c r="L7" s="10">
        <v>2</v>
      </c>
      <c r="M7" s="10">
        <v>4</v>
      </c>
      <c r="N7" s="10">
        <v>2</v>
      </c>
      <c r="O7" s="10">
        <v>4</v>
      </c>
      <c r="P7" s="10">
        <v>2</v>
      </c>
      <c r="Q7" s="10">
        <v>4</v>
      </c>
      <c r="R7" s="10">
        <v>2</v>
      </c>
      <c r="S7" s="13">
        <v>46063</v>
      </c>
      <c r="T7" s="10" t="s">
        <v>23</v>
      </c>
      <c r="U7" s="10"/>
    </row>
    <row r="8" spans="1:21" x14ac:dyDescent="0.25">
      <c r="A8" s="1" t="s">
        <v>29</v>
      </c>
      <c r="B8" s="10">
        <v>877</v>
      </c>
      <c r="C8" s="29">
        <v>9258</v>
      </c>
      <c r="D8" s="19">
        <f t="shared" si="0"/>
        <v>24</v>
      </c>
      <c r="E8" s="10"/>
      <c r="F8" s="10"/>
      <c r="G8" s="10"/>
      <c r="H8" s="10"/>
      <c r="I8" s="10"/>
      <c r="J8" s="10"/>
      <c r="K8" s="10">
        <v>4</v>
      </c>
      <c r="L8" s="10">
        <v>2</v>
      </c>
      <c r="M8" s="10">
        <v>4</v>
      </c>
      <c r="N8" s="10">
        <v>2</v>
      </c>
      <c r="O8" s="10">
        <v>4</v>
      </c>
      <c r="P8" s="10">
        <v>2</v>
      </c>
      <c r="Q8" s="10">
        <v>4</v>
      </c>
      <c r="R8" s="10">
        <v>2</v>
      </c>
      <c r="S8" s="13">
        <v>46063</v>
      </c>
      <c r="T8" s="10"/>
      <c r="U8" s="10"/>
    </row>
    <row r="9" spans="1:21" x14ac:dyDescent="0.25">
      <c r="A9" s="1" t="s">
        <v>29</v>
      </c>
      <c r="B9" s="10">
        <v>878</v>
      </c>
      <c r="C9" s="29">
        <v>1002</v>
      </c>
      <c r="D9" s="19">
        <f t="shared" si="0"/>
        <v>24</v>
      </c>
      <c r="E9" s="10"/>
      <c r="F9" s="10"/>
      <c r="G9" s="10"/>
      <c r="H9" s="10"/>
      <c r="I9" s="10"/>
      <c r="J9" s="10"/>
      <c r="K9" s="10">
        <v>4</v>
      </c>
      <c r="L9" s="10">
        <v>2</v>
      </c>
      <c r="M9" s="10">
        <v>4</v>
      </c>
      <c r="N9" s="10">
        <v>2</v>
      </c>
      <c r="O9" s="10">
        <v>4</v>
      </c>
      <c r="P9" s="10">
        <v>2</v>
      </c>
      <c r="Q9" s="10">
        <v>4</v>
      </c>
      <c r="R9" s="10">
        <v>2</v>
      </c>
      <c r="S9" s="13">
        <v>46063</v>
      </c>
      <c r="T9" s="10" t="s">
        <v>59</v>
      </c>
      <c r="U9" s="10"/>
    </row>
    <row r="10" spans="1:21" x14ac:dyDescent="0.25">
      <c r="A10" s="1" t="s">
        <v>29</v>
      </c>
      <c r="B10" s="10">
        <v>879</v>
      </c>
      <c r="C10" s="29">
        <v>9264</v>
      </c>
      <c r="D10" s="19">
        <f t="shared" si="0"/>
        <v>24</v>
      </c>
      <c r="E10" s="10"/>
      <c r="F10" s="10"/>
      <c r="G10" s="10"/>
      <c r="H10" s="10"/>
      <c r="I10" s="10"/>
      <c r="J10" s="10"/>
      <c r="K10" s="10">
        <v>4</v>
      </c>
      <c r="L10" s="10">
        <v>2</v>
      </c>
      <c r="M10" s="10">
        <v>4</v>
      </c>
      <c r="N10" s="10">
        <v>2</v>
      </c>
      <c r="O10" s="10">
        <v>4</v>
      </c>
      <c r="P10" s="10">
        <v>2</v>
      </c>
      <c r="Q10" s="10">
        <v>4</v>
      </c>
      <c r="R10" s="10">
        <v>2</v>
      </c>
      <c r="S10" s="13">
        <v>46063</v>
      </c>
      <c r="T10" s="10"/>
      <c r="U10" s="10"/>
    </row>
    <row r="11" spans="1:21" x14ac:dyDescent="0.25">
      <c r="A11" s="1" t="s">
        <v>29</v>
      </c>
      <c r="B11" s="10">
        <v>880</v>
      </c>
      <c r="C11" s="29">
        <v>9263</v>
      </c>
      <c r="D11" s="19">
        <f t="shared" si="0"/>
        <v>24</v>
      </c>
      <c r="E11" s="10"/>
      <c r="F11" s="10"/>
      <c r="G11" s="10"/>
      <c r="H11" s="10"/>
      <c r="I11" s="10"/>
      <c r="J11" s="10"/>
      <c r="K11" s="10">
        <v>4</v>
      </c>
      <c r="L11" s="10">
        <v>2</v>
      </c>
      <c r="M11" s="10">
        <v>4</v>
      </c>
      <c r="N11" s="10">
        <v>2</v>
      </c>
      <c r="O11" s="10">
        <v>4</v>
      </c>
      <c r="P11" s="10">
        <v>2</v>
      </c>
      <c r="Q11" s="10">
        <v>4</v>
      </c>
      <c r="R11" s="10">
        <v>2</v>
      </c>
      <c r="S11" s="13">
        <v>46063</v>
      </c>
      <c r="T11" s="10"/>
      <c r="U11" s="10"/>
    </row>
    <row r="12" spans="1:21" x14ac:dyDescent="0.25">
      <c r="A12" s="1" t="s">
        <v>29</v>
      </c>
      <c r="B12" s="10">
        <v>881</v>
      </c>
      <c r="C12" s="29">
        <v>9242</v>
      </c>
      <c r="D12" s="19">
        <f t="shared" si="0"/>
        <v>24</v>
      </c>
      <c r="E12" s="10"/>
      <c r="F12" s="10"/>
      <c r="G12" s="10"/>
      <c r="H12" s="10"/>
      <c r="I12" s="10"/>
      <c r="J12" s="10"/>
      <c r="K12" s="10">
        <v>4</v>
      </c>
      <c r="L12" s="10">
        <v>2</v>
      </c>
      <c r="M12" s="10">
        <v>4</v>
      </c>
      <c r="N12" s="10">
        <v>2</v>
      </c>
      <c r="O12" s="10">
        <v>4</v>
      </c>
      <c r="P12" s="10">
        <v>2</v>
      </c>
      <c r="Q12" s="10">
        <v>4</v>
      </c>
      <c r="R12" s="10">
        <v>2</v>
      </c>
      <c r="S12" s="13">
        <v>46063</v>
      </c>
      <c r="T12" s="10" t="s">
        <v>53</v>
      </c>
      <c r="U12" s="10"/>
    </row>
    <row r="13" spans="1:21" x14ac:dyDescent="0.25">
      <c r="A13" s="1" t="s">
        <v>29</v>
      </c>
      <c r="B13" s="10">
        <v>882</v>
      </c>
      <c r="C13" s="29">
        <v>9267</v>
      </c>
      <c r="D13" s="19">
        <f t="shared" si="0"/>
        <v>24</v>
      </c>
      <c r="E13" s="10"/>
      <c r="F13" s="10"/>
      <c r="G13" s="10"/>
      <c r="H13" s="10"/>
      <c r="I13" s="10"/>
      <c r="J13" s="10"/>
      <c r="K13" s="10">
        <v>4</v>
      </c>
      <c r="L13" s="10">
        <v>2</v>
      </c>
      <c r="M13" s="10">
        <v>4</v>
      </c>
      <c r="N13" s="10">
        <v>2</v>
      </c>
      <c r="O13" s="10">
        <v>4</v>
      </c>
      <c r="P13" s="10">
        <v>2</v>
      </c>
      <c r="Q13" s="10">
        <v>4</v>
      </c>
      <c r="R13" s="10">
        <v>2</v>
      </c>
      <c r="S13" s="13">
        <v>46063</v>
      </c>
      <c r="T13" s="10" t="s">
        <v>53</v>
      </c>
      <c r="U13" s="10"/>
    </row>
    <row r="14" spans="1:21" x14ac:dyDescent="0.25">
      <c r="A14" s="1" t="s">
        <v>29</v>
      </c>
      <c r="B14" s="10">
        <v>883</v>
      </c>
      <c r="C14" s="29">
        <v>9257</v>
      </c>
      <c r="D14" s="19">
        <f t="shared" si="0"/>
        <v>24</v>
      </c>
      <c r="E14" s="10"/>
      <c r="F14" s="10"/>
      <c r="G14" s="10"/>
      <c r="H14" s="10"/>
      <c r="I14" s="10"/>
      <c r="J14" s="10"/>
      <c r="K14" s="10">
        <v>4</v>
      </c>
      <c r="L14" s="10">
        <v>2</v>
      </c>
      <c r="M14" s="10">
        <v>4</v>
      </c>
      <c r="N14" s="10">
        <v>2</v>
      </c>
      <c r="O14" s="10">
        <v>4</v>
      </c>
      <c r="P14" s="10">
        <v>2</v>
      </c>
      <c r="Q14" s="10">
        <v>4</v>
      </c>
      <c r="R14" s="10">
        <v>2</v>
      </c>
      <c r="S14" s="13">
        <v>46063</v>
      </c>
      <c r="T14" s="10"/>
      <c r="U14" s="10"/>
    </row>
    <row r="15" spans="1:21" x14ac:dyDescent="0.25">
      <c r="A15" s="1" t="s">
        <v>29</v>
      </c>
      <c r="B15" s="10">
        <v>884</v>
      </c>
      <c r="C15" s="29">
        <v>9231</v>
      </c>
      <c r="D15" s="19">
        <f t="shared" si="0"/>
        <v>24</v>
      </c>
      <c r="E15" s="10"/>
      <c r="F15" s="10"/>
      <c r="G15" s="10"/>
      <c r="H15" s="10"/>
      <c r="I15" s="10"/>
      <c r="J15" s="10"/>
      <c r="K15" s="10">
        <v>4</v>
      </c>
      <c r="L15" s="10">
        <v>2</v>
      </c>
      <c r="M15" s="10">
        <v>4</v>
      </c>
      <c r="N15" s="10">
        <v>2</v>
      </c>
      <c r="O15" s="10">
        <v>4</v>
      </c>
      <c r="P15" s="10">
        <v>2</v>
      </c>
      <c r="Q15" s="10">
        <v>4</v>
      </c>
      <c r="R15" s="10">
        <v>2</v>
      </c>
      <c r="S15" s="13">
        <v>46063</v>
      </c>
      <c r="T15" s="10" t="s">
        <v>25</v>
      </c>
      <c r="U15" s="10" t="s">
        <v>25</v>
      </c>
    </row>
    <row r="16" spans="1:21" x14ac:dyDescent="0.25">
      <c r="A16" s="1" t="s">
        <v>29</v>
      </c>
      <c r="B16" s="10">
        <v>885</v>
      </c>
      <c r="C16" s="29">
        <v>9239</v>
      </c>
      <c r="D16" s="19">
        <f t="shared" si="0"/>
        <v>24</v>
      </c>
      <c r="E16" s="10"/>
      <c r="F16" s="10"/>
      <c r="G16" s="10"/>
      <c r="H16" s="10"/>
      <c r="I16" s="10"/>
      <c r="J16" s="10"/>
      <c r="K16" s="10">
        <v>4</v>
      </c>
      <c r="L16" s="10">
        <v>2</v>
      </c>
      <c r="M16" s="10">
        <v>4</v>
      </c>
      <c r="N16" s="10">
        <v>2</v>
      </c>
      <c r="O16" s="10">
        <v>4</v>
      </c>
      <c r="P16" s="10">
        <v>2</v>
      </c>
      <c r="Q16" s="10">
        <v>4</v>
      </c>
      <c r="R16" s="10">
        <v>2</v>
      </c>
      <c r="S16" s="13">
        <v>46063</v>
      </c>
      <c r="T16" s="10" t="s">
        <v>23</v>
      </c>
      <c r="U16" s="10" t="s">
        <v>25</v>
      </c>
    </row>
    <row r="17" spans="1:21" x14ac:dyDescent="0.25">
      <c r="A17" s="1" t="s">
        <v>29</v>
      </c>
      <c r="B17" s="10">
        <v>886</v>
      </c>
      <c r="C17" s="29">
        <v>9238</v>
      </c>
      <c r="D17" s="19">
        <f t="shared" si="0"/>
        <v>24</v>
      </c>
      <c r="E17" s="10"/>
      <c r="F17" s="10"/>
      <c r="G17" s="10"/>
      <c r="H17" s="10"/>
      <c r="I17" s="10"/>
      <c r="J17" s="10"/>
      <c r="K17" s="10">
        <v>4</v>
      </c>
      <c r="L17" s="10">
        <v>2</v>
      </c>
      <c r="M17" s="10">
        <v>4</v>
      </c>
      <c r="N17" s="10">
        <v>2</v>
      </c>
      <c r="O17" s="10">
        <v>4</v>
      </c>
      <c r="P17" s="10">
        <v>2</v>
      </c>
      <c r="Q17" s="10">
        <v>4</v>
      </c>
      <c r="R17" s="10">
        <v>2</v>
      </c>
      <c r="S17" s="13">
        <v>46063</v>
      </c>
      <c r="T17" s="10" t="s">
        <v>25</v>
      </c>
      <c r="U17" s="10" t="s">
        <v>25</v>
      </c>
    </row>
    <row r="18" spans="1:21" x14ac:dyDescent="0.25">
      <c r="A18" s="1" t="s">
        <v>29</v>
      </c>
      <c r="B18" s="10">
        <v>887</v>
      </c>
      <c r="C18" s="29">
        <v>9260</v>
      </c>
      <c r="D18" s="19">
        <f t="shared" si="0"/>
        <v>24</v>
      </c>
      <c r="E18" s="10"/>
      <c r="F18" s="10"/>
      <c r="G18" s="10"/>
      <c r="H18" s="10"/>
      <c r="I18" s="10"/>
      <c r="J18" s="10"/>
      <c r="K18" s="10">
        <v>4</v>
      </c>
      <c r="L18" s="10">
        <v>2</v>
      </c>
      <c r="M18" s="10">
        <v>4</v>
      </c>
      <c r="N18" s="10">
        <v>2</v>
      </c>
      <c r="O18" s="10">
        <v>4</v>
      </c>
      <c r="P18" s="10">
        <v>2</v>
      </c>
      <c r="Q18" s="10">
        <v>4</v>
      </c>
      <c r="R18" s="10">
        <v>2</v>
      </c>
      <c r="S18" s="13">
        <v>46063</v>
      </c>
      <c r="T18" s="10" t="s">
        <v>25</v>
      </c>
      <c r="U18" s="10" t="s">
        <v>25</v>
      </c>
    </row>
    <row r="19" spans="1:21" x14ac:dyDescent="0.25">
      <c r="A19" s="1" t="s">
        <v>29</v>
      </c>
      <c r="B19" s="10">
        <v>888</v>
      </c>
      <c r="C19" s="29">
        <v>9262</v>
      </c>
      <c r="D19" s="19">
        <f t="shared" si="0"/>
        <v>24</v>
      </c>
      <c r="E19" s="10"/>
      <c r="F19" s="10"/>
      <c r="G19" s="10"/>
      <c r="H19" s="10"/>
      <c r="I19" s="10"/>
      <c r="J19" s="10"/>
      <c r="K19" s="10">
        <v>4</v>
      </c>
      <c r="L19" s="10">
        <v>2</v>
      </c>
      <c r="M19" s="10">
        <v>4</v>
      </c>
      <c r="N19" s="10">
        <v>2</v>
      </c>
      <c r="O19" s="10">
        <v>4</v>
      </c>
      <c r="P19" s="10">
        <v>2</v>
      </c>
      <c r="Q19" s="10">
        <v>4</v>
      </c>
      <c r="R19" s="10">
        <v>2</v>
      </c>
      <c r="S19" s="13">
        <v>46063</v>
      </c>
      <c r="T19" s="10" t="s">
        <v>25</v>
      </c>
      <c r="U19" s="10" t="s">
        <v>25</v>
      </c>
    </row>
    <row r="20" spans="1:21" x14ac:dyDescent="0.25">
      <c r="A20" s="1" t="s">
        <v>29</v>
      </c>
      <c r="B20" s="10">
        <v>889</v>
      </c>
      <c r="C20" s="29">
        <v>9266</v>
      </c>
      <c r="D20" s="19">
        <f t="shared" si="0"/>
        <v>24</v>
      </c>
      <c r="E20" s="10"/>
      <c r="F20" s="10"/>
      <c r="G20" s="10"/>
      <c r="H20" s="10"/>
      <c r="I20" s="10"/>
      <c r="J20" s="10"/>
      <c r="K20" s="10">
        <v>4</v>
      </c>
      <c r="L20" s="10">
        <v>2</v>
      </c>
      <c r="M20" s="10">
        <v>4</v>
      </c>
      <c r="N20" s="10">
        <v>2</v>
      </c>
      <c r="O20" s="10">
        <v>4</v>
      </c>
      <c r="P20" s="10">
        <v>2</v>
      </c>
      <c r="Q20" s="10">
        <v>4</v>
      </c>
      <c r="R20" s="10">
        <v>2</v>
      </c>
      <c r="S20" s="13">
        <v>46063</v>
      </c>
      <c r="T20" s="10" t="s">
        <v>25</v>
      </c>
      <c r="U20" s="10" t="s">
        <v>25</v>
      </c>
    </row>
    <row r="21" spans="1:21" x14ac:dyDescent="0.25">
      <c r="A21" s="1" t="s">
        <v>45</v>
      </c>
      <c r="B21" s="10">
        <v>890</v>
      </c>
      <c r="C21" s="10">
        <v>9219</v>
      </c>
      <c r="D21" s="19">
        <f t="shared" si="0"/>
        <v>48</v>
      </c>
      <c r="E21" s="10">
        <v>4</v>
      </c>
      <c r="F21" s="10">
        <v>4</v>
      </c>
      <c r="G21" s="10">
        <v>4</v>
      </c>
      <c r="H21" s="10">
        <v>4</v>
      </c>
      <c r="I21" s="10">
        <v>4</v>
      </c>
      <c r="J21" s="10">
        <v>4</v>
      </c>
      <c r="K21" s="10">
        <v>4</v>
      </c>
      <c r="L21" s="10">
        <v>2</v>
      </c>
      <c r="M21" s="10">
        <v>4</v>
      </c>
      <c r="N21" s="10">
        <v>2</v>
      </c>
      <c r="O21" s="10">
        <v>4</v>
      </c>
      <c r="P21" s="10">
        <v>2</v>
      </c>
      <c r="Q21" s="10">
        <v>4</v>
      </c>
      <c r="R21" s="10">
        <v>2</v>
      </c>
      <c r="S21" s="13">
        <v>46065</v>
      </c>
      <c r="T21" s="10" t="s">
        <v>53</v>
      </c>
      <c r="U21" s="10"/>
    </row>
    <row r="22" spans="1:21" x14ac:dyDescent="0.25">
      <c r="A22" s="1" t="s">
        <v>45</v>
      </c>
      <c r="B22" s="10">
        <v>891</v>
      </c>
      <c r="C22" s="10">
        <v>9240</v>
      </c>
      <c r="D22" s="19">
        <f t="shared" si="0"/>
        <v>48</v>
      </c>
      <c r="E22" s="10">
        <v>4</v>
      </c>
      <c r="F22" s="10">
        <v>4</v>
      </c>
      <c r="G22" s="10">
        <v>4</v>
      </c>
      <c r="H22" s="10">
        <v>4</v>
      </c>
      <c r="I22" s="10">
        <v>4</v>
      </c>
      <c r="J22" s="10">
        <v>4</v>
      </c>
      <c r="K22" s="10">
        <v>4</v>
      </c>
      <c r="L22" s="10">
        <v>2</v>
      </c>
      <c r="M22" s="10">
        <v>4</v>
      </c>
      <c r="N22" s="10">
        <v>2</v>
      </c>
      <c r="O22" s="10">
        <v>4</v>
      </c>
      <c r="P22" s="10">
        <v>2</v>
      </c>
      <c r="Q22" s="10">
        <v>4</v>
      </c>
      <c r="R22" s="10">
        <v>2</v>
      </c>
      <c r="S22" s="13">
        <v>46065</v>
      </c>
      <c r="T22" s="10" t="s">
        <v>53</v>
      </c>
      <c r="U22" s="10"/>
    </row>
    <row r="23" spans="1:21" x14ac:dyDescent="0.25">
      <c r="A23" s="1" t="s">
        <v>45</v>
      </c>
      <c r="B23" s="10">
        <v>892</v>
      </c>
      <c r="C23" s="10">
        <v>9213</v>
      </c>
      <c r="D23" s="19">
        <f t="shared" si="0"/>
        <v>48</v>
      </c>
      <c r="E23" s="10">
        <v>4</v>
      </c>
      <c r="F23" s="10">
        <v>4</v>
      </c>
      <c r="G23" s="10">
        <v>4</v>
      </c>
      <c r="H23" s="10">
        <v>4</v>
      </c>
      <c r="I23" s="10">
        <v>4</v>
      </c>
      <c r="J23" s="10">
        <v>4</v>
      </c>
      <c r="K23" s="10">
        <v>4</v>
      </c>
      <c r="L23" s="10">
        <v>2</v>
      </c>
      <c r="M23" s="10">
        <v>4</v>
      </c>
      <c r="N23" s="10">
        <v>2</v>
      </c>
      <c r="O23" s="10">
        <v>4</v>
      </c>
      <c r="P23" s="10">
        <v>2</v>
      </c>
      <c r="Q23" s="10">
        <v>4</v>
      </c>
      <c r="R23" s="10">
        <v>2</v>
      </c>
      <c r="S23" s="13">
        <v>46065</v>
      </c>
      <c r="T23" s="10"/>
      <c r="U23" s="10"/>
    </row>
    <row r="24" spans="1:21" x14ac:dyDescent="0.25">
      <c r="A24" s="1" t="s">
        <v>45</v>
      </c>
      <c r="B24" s="10">
        <v>893</v>
      </c>
      <c r="C24" s="10">
        <v>9208</v>
      </c>
      <c r="D24" s="19">
        <f t="shared" si="0"/>
        <v>48</v>
      </c>
      <c r="E24" s="10">
        <v>4</v>
      </c>
      <c r="F24" s="10">
        <v>4</v>
      </c>
      <c r="G24" s="10">
        <v>4</v>
      </c>
      <c r="H24" s="10">
        <v>4</v>
      </c>
      <c r="I24" s="10">
        <v>4</v>
      </c>
      <c r="J24" s="10">
        <v>4</v>
      </c>
      <c r="K24" s="10">
        <v>4</v>
      </c>
      <c r="L24" s="10">
        <v>2</v>
      </c>
      <c r="M24" s="10">
        <v>4</v>
      </c>
      <c r="N24" s="10">
        <v>2</v>
      </c>
      <c r="O24" s="10">
        <v>4</v>
      </c>
      <c r="P24" s="10">
        <v>2</v>
      </c>
      <c r="Q24" s="10">
        <v>4</v>
      </c>
      <c r="R24" s="10">
        <v>2</v>
      </c>
      <c r="S24" s="13">
        <v>46065</v>
      </c>
      <c r="T24" s="10" t="s">
        <v>53</v>
      </c>
      <c r="U24" s="10" t="s">
        <v>53</v>
      </c>
    </row>
    <row r="25" spans="1:21" x14ac:dyDescent="0.25">
      <c r="A25" s="1" t="s">
        <v>45</v>
      </c>
      <c r="B25" s="10">
        <v>894</v>
      </c>
      <c r="C25" s="10">
        <v>9210</v>
      </c>
      <c r="D25" s="19">
        <f t="shared" si="0"/>
        <v>48</v>
      </c>
      <c r="E25" s="10">
        <v>4</v>
      </c>
      <c r="F25" s="10">
        <v>4</v>
      </c>
      <c r="G25" s="10">
        <v>4</v>
      </c>
      <c r="H25" s="10">
        <v>4</v>
      </c>
      <c r="I25" s="10">
        <v>4</v>
      </c>
      <c r="J25" s="10">
        <v>4</v>
      </c>
      <c r="K25" s="10">
        <v>4</v>
      </c>
      <c r="L25" s="10">
        <v>2</v>
      </c>
      <c r="M25" s="10">
        <v>4</v>
      </c>
      <c r="N25" s="10">
        <v>2</v>
      </c>
      <c r="O25" s="10">
        <v>4</v>
      </c>
      <c r="P25" s="10">
        <v>2</v>
      </c>
      <c r="Q25" s="10">
        <v>4</v>
      </c>
      <c r="R25" s="10">
        <v>2</v>
      </c>
      <c r="S25" s="13">
        <v>46065</v>
      </c>
      <c r="T25" s="10" t="s">
        <v>59</v>
      </c>
      <c r="U25" s="10" t="s">
        <v>59</v>
      </c>
    </row>
    <row r="26" spans="1:21" x14ac:dyDescent="0.25">
      <c r="A26" s="1" t="s">
        <v>45</v>
      </c>
      <c r="B26" s="10">
        <v>895</v>
      </c>
      <c r="C26" s="10">
        <v>9201</v>
      </c>
      <c r="D26" s="19">
        <f t="shared" si="0"/>
        <v>48</v>
      </c>
      <c r="E26" s="10">
        <v>4</v>
      </c>
      <c r="F26" s="10">
        <v>4</v>
      </c>
      <c r="G26" s="10">
        <v>4</v>
      </c>
      <c r="H26" s="10">
        <v>4</v>
      </c>
      <c r="I26" s="10">
        <v>4</v>
      </c>
      <c r="J26" s="10">
        <v>4</v>
      </c>
      <c r="K26" s="10">
        <v>4</v>
      </c>
      <c r="L26" s="10">
        <v>2</v>
      </c>
      <c r="M26" s="10">
        <v>4</v>
      </c>
      <c r="N26" s="10">
        <v>2</v>
      </c>
      <c r="O26" s="10">
        <v>4</v>
      </c>
      <c r="P26" s="10">
        <v>2</v>
      </c>
      <c r="Q26" s="10">
        <v>4</v>
      </c>
      <c r="R26" s="10">
        <v>2</v>
      </c>
      <c r="S26" s="13">
        <v>46065</v>
      </c>
      <c r="T26" s="10"/>
      <c r="U26" s="10"/>
    </row>
    <row r="27" spans="1:21" x14ac:dyDescent="0.25">
      <c r="A27" s="1" t="s">
        <v>45</v>
      </c>
      <c r="B27" s="10">
        <v>896</v>
      </c>
      <c r="C27" s="10">
        <v>9225</v>
      </c>
      <c r="D27" s="19">
        <f t="shared" si="0"/>
        <v>48</v>
      </c>
      <c r="E27" s="10">
        <v>4</v>
      </c>
      <c r="F27" s="10">
        <v>4</v>
      </c>
      <c r="G27" s="10">
        <v>4</v>
      </c>
      <c r="H27" s="10">
        <v>4</v>
      </c>
      <c r="I27" s="10">
        <v>4</v>
      </c>
      <c r="J27" s="10">
        <v>4</v>
      </c>
      <c r="K27" s="10">
        <v>4</v>
      </c>
      <c r="L27" s="10">
        <v>2</v>
      </c>
      <c r="M27" s="10">
        <v>4</v>
      </c>
      <c r="N27" s="10">
        <v>2</v>
      </c>
      <c r="O27" s="10">
        <v>4</v>
      </c>
      <c r="P27" s="10">
        <v>2</v>
      </c>
      <c r="Q27" s="10">
        <v>4</v>
      </c>
      <c r="R27" s="10">
        <v>2</v>
      </c>
      <c r="S27" s="13">
        <v>46065</v>
      </c>
      <c r="T27" s="10" t="s">
        <v>53</v>
      </c>
      <c r="U27" s="10" t="s">
        <v>53</v>
      </c>
    </row>
    <row r="28" spans="1:21" x14ac:dyDescent="0.25">
      <c r="A28" s="1" t="s">
        <v>45</v>
      </c>
      <c r="B28" s="10">
        <v>897</v>
      </c>
      <c r="C28" s="10">
        <v>9264</v>
      </c>
      <c r="D28" s="19">
        <f t="shared" si="0"/>
        <v>48</v>
      </c>
      <c r="E28" s="10">
        <v>4</v>
      </c>
      <c r="F28" s="10">
        <v>4</v>
      </c>
      <c r="G28" s="10">
        <v>4</v>
      </c>
      <c r="H28" s="10">
        <v>4</v>
      </c>
      <c r="I28" s="10">
        <v>4</v>
      </c>
      <c r="J28" s="10">
        <v>4</v>
      </c>
      <c r="K28" s="10">
        <v>4</v>
      </c>
      <c r="L28" s="10">
        <v>2</v>
      </c>
      <c r="M28" s="10">
        <v>4</v>
      </c>
      <c r="N28" s="10">
        <v>2</v>
      </c>
      <c r="O28" s="10">
        <v>4</v>
      </c>
      <c r="P28" s="10">
        <v>2</v>
      </c>
      <c r="Q28" s="10">
        <v>4</v>
      </c>
      <c r="R28" s="10">
        <v>2</v>
      </c>
      <c r="S28" s="13">
        <v>46065</v>
      </c>
      <c r="T28" s="10"/>
      <c r="U28" s="10"/>
    </row>
    <row r="29" spans="1:21" x14ac:dyDescent="0.25">
      <c r="A29" s="1" t="s">
        <v>45</v>
      </c>
      <c r="B29" s="10">
        <v>898</v>
      </c>
      <c r="C29" s="10">
        <v>9242</v>
      </c>
      <c r="D29" s="19">
        <f t="shared" si="0"/>
        <v>48</v>
      </c>
      <c r="E29" s="10">
        <v>4</v>
      </c>
      <c r="F29" s="10">
        <v>4</v>
      </c>
      <c r="G29" s="10">
        <v>4</v>
      </c>
      <c r="H29" s="10">
        <v>4</v>
      </c>
      <c r="I29" s="10">
        <v>4</v>
      </c>
      <c r="J29" s="10">
        <v>4</v>
      </c>
      <c r="K29" s="10">
        <v>4</v>
      </c>
      <c r="L29" s="10">
        <v>2</v>
      </c>
      <c r="M29" s="10">
        <v>4</v>
      </c>
      <c r="N29" s="10">
        <v>2</v>
      </c>
      <c r="O29" s="10">
        <v>4</v>
      </c>
      <c r="P29" s="10">
        <v>2</v>
      </c>
      <c r="Q29" s="10">
        <v>4</v>
      </c>
      <c r="R29" s="10">
        <v>2</v>
      </c>
      <c r="S29" s="13">
        <v>46065</v>
      </c>
      <c r="T29" s="10"/>
      <c r="U29" s="10"/>
    </row>
    <row r="30" spans="1:21" x14ac:dyDescent="0.25">
      <c r="A30" s="1" t="s">
        <v>45</v>
      </c>
      <c r="B30" s="10">
        <v>899</v>
      </c>
      <c r="C30" s="10">
        <v>9231</v>
      </c>
      <c r="D30" s="19">
        <f t="shared" si="0"/>
        <v>48</v>
      </c>
      <c r="E30" s="10">
        <v>4</v>
      </c>
      <c r="F30" s="10">
        <v>4</v>
      </c>
      <c r="G30" s="10">
        <v>4</v>
      </c>
      <c r="H30" s="10">
        <v>4</v>
      </c>
      <c r="I30" s="10">
        <v>4</v>
      </c>
      <c r="J30" s="10">
        <v>4</v>
      </c>
      <c r="K30" s="10">
        <v>4</v>
      </c>
      <c r="L30" s="10">
        <v>2</v>
      </c>
      <c r="M30" s="10">
        <v>4</v>
      </c>
      <c r="N30" s="10">
        <v>2</v>
      </c>
      <c r="O30" s="10">
        <v>4</v>
      </c>
      <c r="P30" s="10">
        <v>2</v>
      </c>
      <c r="Q30" s="10">
        <v>4</v>
      </c>
      <c r="R30" s="10">
        <v>2</v>
      </c>
      <c r="S30" s="13">
        <v>46065</v>
      </c>
      <c r="T30" s="10"/>
      <c r="U30" s="10"/>
    </row>
    <row r="31" spans="1:21" x14ac:dyDescent="0.25">
      <c r="A31" s="1" t="s">
        <v>45</v>
      </c>
      <c r="B31" s="10">
        <v>900</v>
      </c>
      <c r="C31" s="10">
        <v>9232</v>
      </c>
      <c r="D31" s="19">
        <f t="shared" si="0"/>
        <v>48</v>
      </c>
      <c r="E31" s="10">
        <v>4</v>
      </c>
      <c r="F31" s="10">
        <v>4</v>
      </c>
      <c r="G31" s="10">
        <v>4</v>
      </c>
      <c r="H31" s="10">
        <v>4</v>
      </c>
      <c r="I31" s="10">
        <v>4</v>
      </c>
      <c r="J31" s="10">
        <v>4</v>
      </c>
      <c r="K31" s="10">
        <v>4</v>
      </c>
      <c r="L31" s="10">
        <v>2</v>
      </c>
      <c r="M31" s="10">
        <v>4</v>
      </c>
      <c r="N31" s="10">
        <v>2</v>
      </c>
      <c r="O31" s="10">
        <v>4</v>
      </c>
      <c r="P31" s="10">
        <v>2</v>
      </c>
      <c r="Q31" s="10">
        <v>4</v>
      </c>
      <c r="R31" s="10">
        <v>2</v>
      </c>
      <c r="S31" s="13">
        <v>46065</v>
      </c>
      <c r="T31" s="10" t="s">
        <v>25</v>
      </c>
      <c r="U31" s="10" t="s">
        <v>25</v>
      </c>
    </row>
    <row r="32" spans="1:21" x14ac:dyDescent="0.25">
      <c r="A32" s="1" t="s">
        <v>45</v>
      </c>
      <c r="B32" s="10">
        <v>901</v>
      </c>
      <c r="C32" s="10">
        <v>9208</v>
      </c>
      <c r="D32" s="19">
        <f t="shared" si="0"/>
        <v>48</v>
      </c>
      <c r="E32" s="10">
        <v>4</v>
      </c>
      <c r="F32" s="10">
        <v>4</v>
      </c>
      <c r="G32" s="10">
        <v>4</v>
      </c>
      <c r="H32" s="10">
        <v>4</v>
      </c>
      <c r="I32" s="10">
        <v>4</v>
      </c>
      <c r="J32" s="10">
        <v>4</v>
      </c>
      <c r="K32" s="10">
        <v>4</v>
      </c>
      <c r="L32" s="10">
        <v>2</v>
      </c>
      <c r="M32" s="10">
        <v>4</v>
      </c>
      <c r="N32" s="10">
        <v>2</v>
      </c>
      <c r="O32" s="10">
        <v>4</v>
      </c>
      <c r="P32" s="10">
        <v>2</v>
      </c>
      <c r="Q32" s="10">
        <v>4</v>
      </c>
      <c r="R32" s="10">
        <v>2</v>
      </c>
      <c r="S32" s="13">
        <v>46066</v>
      </c>
      <c r="T32" s="10"/>
      <c r="U32" s="10" t="s">
        <v>23</v>
      </c>
    </row>
    <row r="33" spans="1:21" x14ac:dyDescent="0.25">
      <c r="A33" s="1" t="s">
        <v>45</v>
      </c>
      <c r="B33" s="10">
        <v>902</v>
      </c>
      <c r="C33" s="10">
        <v>9210</v>
      </c>
      <c r="D33" s="19">
        <f t="shared" si="0"/>
        <v>48</v>
      </c>
      <c r="E33" s="10">
        <v>4</v>
      </c>
      <c r="F33" s="10">
        <v>4</v>
      </c>
      <c r="G33" s="10">
        <v>4</v>
      </c>
      <c r="H33" s="10">
        <v>4</v>
      </c>
      <c r="I33" s="10">
        <v>4</v>
      </c>
      <c r="J33" s="10">
        <v>4</v>
      </c>
      <c r="K33" s="10">
        <v>4</v>
      </c>
      <c r="L33" s="10">
        <v>2</v>
      </c>
      <c r="M33" s="10">
        <v>4</v>
      </c>
      <c r="N33" s="10">
        <v>2</v>
      </c>
      <c r="O33" s="10">
        <v>4</v>
      </c>
      <c r="P33" s="10">
        <v>2</v>
      </c>
      <c r="Q33" s="10">
        <v>4</v>
      </c>
      <c r="R33" s="10">
        <v>2</v>
      </c>
      <c r="S33" s="13">
        <v>46066</v>
      </c>
      <c r="T33" s="10"/>
      <c r="U33" s="10"/>
    </row>
    <row r="34" spans="1:21" x14ac:dyDescent="0.25">
      <c r="A34" s="1" t="s">
        <v>45</v>
      </c>
      <c r="B34" s="10">
        <v>903</v>
      </c>
      <c r="C34" s="10">
        <v>9214</v>
      </c>
      <c r="D34" s="19">
        <f t="shared" si="0"/>
        <v>48</v>
      </c>
      <c r="E34" s="10">
        <v>4</v>
      </c>
      <c r="F34" s="10">
        <v>4</v>
      </c>
      <c r="G34" s="10">
        <v>4</v>
      </c>
      <c r="H34" s="10">
        <v>4</v>
      </c>
      <c r="I34" s="10">
        <v>4</v>
      </c>
      <c r="J34" s="10">
        <v>4</v>
      </c>
      <c r="K34" s="10">
        <v>4</v>
      </c>
      <c r="L34" s="10">
        <v>2</v>
      </c>
      <c r="M34" s="10">
        <v>4</v>
      </c>
      <c r="N34" s="10">
        <v>2</v>
      </c>
      <c r="O34" s="10">
        <v>4</v>
      </c>
      <c r="P34" s="10">
        <v>2</v>
      </c>
      <c r="Q34" s="10">
        <v>4</v>
      </c>
      <c r="R34" s="10">
        <v>2</v>
      </c>
      <c r="S34" s="13">
        <v>46066</v>
      </c>
      <c r="T34" s="10"/>
      <c r="U34" s="10" t="s">
        <v>23</v>
      </c>
    </row>
    <row r="35" spans="1:21" x14ac:dyDescent="0.25">
      <c r="A35" s="1" t="s">
        <v>45</v>
      </c>
      <c r="B35" s="10">
        <v>904</v>
      </c>
      <c r="C35" s="10">
        <v>9214</v>
      </c>
      <c r="D35" s="19">
        <f t="shared" si="0"/>
        <v>48</v>
      </c>
      <c r="E35" s="10">
        <v>4</v>
      </c>
      <c r="F35" s="10">
        <v>4</v>
      </c>
      <c r="G35" s="10">
        <v>4</v>
      </c>
      <c r="H35" s="10">
        <v>4</v>
      </c>
      <c r="I35" s="10">
        <v>4</v>
      </c>
      <c r="J35" s="10">
        <v>4</v>
      </c>
      <c r="K35" s="10">
        <v>4</v>
      </c>
      <c r="L35" s="10">
        <v>2</v>
      </c>
      <c r="M35" s="10">
        <v>4</v>
      </c>
      <c r="N35" s="10">
        <v>2</v>
      </c>
      <c r="O35" s="10">
        <v>4</v>
      </c>
      <c r="P35" s="10">
        <v>2</v>
      </c>
      <c r="Q35" s="10">
        <v>4</v>
      </c>
      <c r="R35" s="10">
        <v>2</v>
      </c>
      <c r="S35" s="13">
        <v>46066</v>
      </c>
      <c r="T35" s="10"/>
      <c r="U35" s="10"/>
    </row>
    <row r="36" spans="1:21" x14ac:dyDescent="0.25">
      <c r="A36" s="1"/>
      <c r="B36" s="10">
        <v>905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53</v>
      </c>
      <c r="U36" s="10" t="s">
        <v>53</v>
      </c>
    </row>
    <row r="37" spans="1:21" x14ac:dyDescent="0.25">
      <c r="B37" s="16"/>
      <c r="C37" s="16"/>
      <c r="D37" s="10">
        <f>SUM(D3:D36)</f>
        <v>1194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2:21" x14ac:dyDescent="0.25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2:21" x14ac:dyDescent="0.25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2:21" x14ac:dyDescent="0.25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2:21" x14ac:dyDescent="0.25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2:21" x14ac:dyDescent="0.25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2:21" x14ac:dyDescent="0.25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2:21" x14ac:dyDescent="0.25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2:21" x14ac:dyDescent="0.25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2:21" x14ac:dyDescent="0.25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2:21" x14ac:dyDescent="0.25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2:21" x14ac:dyDescent="0.25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2:21" x14ac:dyDescent="0.25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2:21" x14ac:dyDescent="0.25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2:21" x14ac:dyDescent="0.25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2:21" x14ac:dyDescent="0.25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</sheetData>
  <mergeCells count="4">
    <mergeCell ref="A1:D1"/>
    <mergeCell ref="E1:R1"/>
    <mergeCell ref="S1:S2"/>
    <mergeCell ref="T1:U1"/>
  </mergeCells>
  <pageMargins left="0.7" right="0.7" top="0.75" bottom="0.75" header="0.3" footer="0.3"/>
  <ignoredErrors>
    <ignoredError sqref="D3:D16 D17:D22 D23:D31 D32:D36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59"/>
  <sheetViews>
    <sheetView topLeftCell="A31" workbookViewId="0">
      <selection activeCell="K67" sqref="K67"/>
    </sheetView>
  </sheetViews>
  <sheetFormatPr defaultColWidth="11.42578125" defaultRowHeight="15" x14ac:dyDescent="0.25"/>
  <cols>
    <col min="1" max="1" width="21.42578125" customWidth="1"/>
    <col min="3" max="3" width="13" customWidth="1"/>
    <col min="5" max="5" width="4.85546875" customWidth="1"/>
    <col min="6" max="6" width="5.85546875" customWidth="1"/>
    <col min="7" max="7" width="4.85546875" customWidth="1"/>
    <col min="8" max="8" width="5.85546875" customWidth="1"/>
    <col min="9" max="9" width="4.140625" customWidth="1"/>
    <col min="10" max="10" width="5" customWidth="1"/>
    <col min="11" max="11" width="5.140625" customWidth="1"/>
    <col min="12" max="12" width="5.7109375" customWidth="1"/>
    <col min="13" max="13" width="4.42578125" customWidth="1"/>
    <col min="14" max="14" width="5.5703125" customWidth="1"/>
    <col min="15" max="15" width="4.85546875" customWidth="1"/>
    <col min="16" max="16" width="5.140625" customWidth="1"/>
    <col min="17" max="17" width="4.5703125" customWidth="1"/>
    <col min="18" max="18" width="5.42578125" customWidth="1"/>
    <col min="19" max="19" width="17.7109375" customWidth="1"/>
    <col min="20" max="20" width="12.7109375" customWidth="1"/>
    <col min="21" max="21" width="13.85546875" customWidth="1"/>
  </cols>
  <sheetData>
    <row r="1" spans="1:21" ht="18.75" x14ac:dyDescent="0.25">
      <c r="A1" s="63" t="s">
        <v>94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66"/>
      <c r="T2" s="22" t="s">
        <v>9</v>
      </c>
      <c r="U2" s="22" t="s">
        <v>10</v>
      </c>
    </row>
    <row r="3" spans="1:21" x14ac:dyDescent="0.25">
      <c r="A3" s="1" t="s">
        <v>42</v>
      </c>
      <c r="B3" s="10">
        <v>906</v>
      </c>
      <c r="C3" s="10">
        <v>9201</v>
      </c>
      <c r="D3" s="19">
        <f>SUM(E3:R3)</f>
        <v>28</v>
      </c>
      <c r="E3" s="10">
        <v>2</v>
      </c>
      <c r="F3" s="10">
        <v>2</v>
      </c>
      <c r="G3" s="10">
        <v>2</v>
      </c>
      <c r="H3" s="10">
        <v>2</v>
      </c>
      <c r="I3" s="10">
        <v>2</v>
      </c>
      <c r="J3" s="10">
        <v>2</v>
      </c>
      <c r="K3" s="10">
        <v>2</v>
      </c>
      <c r="L3" s="10">
        <v>2</v>
      </c>
      <c r="M3" s="10">
        <v>2</v>
      </c>
      <c r="N3" s="10">
        <v>2</v>
      </c>
      <c r="O3" s="10">
        <v>2</v>
      </c>
      <c r="P3" s="10">
        <v>2</v>
      </c>
      <c r="Q3" s="10">
        <v>2</v>
      </c>
      <c r="R3" s="10">
        <v>2</v>
      </c>
      <c r="S3" s="13">
        <v>46069</v>
      </c>
      <c r="T3" s="10" t="s">
        <v>53</v>
      </c>
      <c r="U3" s="10"/>
    </row>
    <row r="4" spans="1:21" x14ac:dyDescent="0.25">
      <c r="A4" s="1" t="s">
        <v>42</v>
      </c>
      <c r="B4" s="10">
        <v>907</v>
      </c>
      <c r="C4" s="10">
        <v>9201</v>
      </c>
      <c r="D4" s="19">
        <f t="shared" ref="D4:D9" si="0">SUM(E4:R4)</f>
        <v>28</v>
      </c>
      <c r="E4" s="10">
        <v>2</v>
      </c>
      <c r="F4" s="10">
        <v>2</v>
      </c>
      <c r="G4" s="10">
        <v>2</v>
      </c>
      <c r="H4" s="10">
        <v>2</v>
      </c>
      <c r="I4" s="10">
        <v>2</v>
      </c>
      <c r="J4" s="10">
        <v>2</v>
      </c>
      <c r="K4" s="10">
        <v>2</v>
      </c>
      <c r="L4" s="10">
        <v>2</v>
      </c>
      <c r="M4" s="10">
        <v>2</v>
      </c>
      <c r="N4" s="10">
        <v>2</v>
      </c>
      <c r="O4" s="10">
        <v>2</v>
      </c>
      <c r="P4" s="10">
        <v>2</v>
      </c>
      <c r="Q4" s="10">
        <v>2</v>
      </c>
      <c r="R4" s="10">
        <v>2</v>
      </c>
      <c r="S4" s="13">
        <v>46069</v>
      </c>
      <c r="T4" s="10" t="s">
        <v>53</v>
      </c>
      <c r="U4" s="10"/>
    </row>
    <row r="5" spans="1:21" x14ac:dyDescent="0.25">
      <c r="A5" s="1" t="s">
        <v>42</v>
      </c>
      <c r="B5" s="10">
        <v>908</v>
      </c>
      <c r="C5" s="10">
        <v>9213</v>
      </c>
      <c r="D5" s="19">
        <f t="shared" si="0"/>
        <v>19</v>
      </c>
      <c r="E5" s="10"/>
      <c r="F5" s="10"/>
      <c r="G5" s="10">
        <v>2</v>
      </c>
      <c r="H5" s="10">
        <v>2</v>
      </c>
      <c r="I5" s="10">
        <v>2</v>
      </c>
      <c r="J5" s="10">
        <v>1</v>
      </c>
      <c r="K5" s="10">
        <v>1</v>
      </c>
      <c r="L5" s="10">
        <v>1</v>
      </c>
      <c r="M5" s="10">
        <v>1</v>
      </c>
      <c r="N5" s="10">
        <v>1</v>
      </c>
      <c r="O5" s="10">
        <v>2</v>
      </c>
      <c r="P5" s="10">
        <v>2</v>
      </c>
      <c r="Q5" s="10">
        <v>2</v>
      </c>
      <c r="R5" s="10">
        <v>2</v>
      </c>
      <c r="S5" s="13">
        <v>46069</v>
      </c>
      <c r="T5" s="10"/>
      <c r="U5" s="10"/>
    </row>
    <row r="6" spans="1:21" x14ac:dyDescent="0.25">
      <c r="A6" s="1" t="s">
        <v>42</v>
      </c>
      <c r="B6" s="10">
        <v>909</v>
      </c>
      <c r="C6" s="10">
        <v>9201</v>
      </c>
      <c r="D6" s="19">
        <f t="shared" si="0"/>
        <v>11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/>
      <c r="K6" s="10">
        <v>1</v>
      </c>
      <c r="L6" s="10"/>
      <c r="M6" s="10">
        <v>1</v>
      </c>
      <c r="N6" s="10">
        <v>1</v>
      </c>
      <c r="O6" s="10">
        <v>1</v>
      </c>
      <c r="P6" s="10">
        <v>1</v>
      </c>
      <c r="Q6" s="10"/>
      <c r="R6" s="10">
        <v>1</v>
      </c>
      <c r="S6" s="13">
        <v>46069</v>
      </c>
      <c r="T6" s="10"/>
      <c r="U6" s="10"/>
    </row>
    <row r="7" spans="1:21" x14ac:dyDescent="0.25">
      <c r="A7" s="1" t="s">
        <v>42</v>
      </c>
      <c r="B7" s="10">
        <v>910</v>
      </c>
      <c r="C7" s="10">
        <v>9201</v>
      </c>
      <c r="D7" s="19">
        <f t="shared" si="0"/>
        <v>14</v>
      </c>
      <c r="E7" s="10"/>
      <c r="F7" s="10">
        <v>1</v>
      </c>
      <c r="G7" s="10">
        <v>2</v>
      </c>
      <c r="H7" s="10">
        <v>2</v>
      </c>
      <c r="I7" s="10">
        <v>2</v>
      </c>
      <c r="J7" s="10">
        <v>2</v>
      </c>
      <c r="K7" s="10">
        <v>1</v>
      </c>
      <c r="L7" s="10">
        <v>1</v>
      </c>
      <c r="M7" s="10"/>
      <c r="N7" s="10">
        <v>1</v>
      </c>
      <c r="O7" s="10"/>
      <c r="P7" s="10">
        <v>1</v>
      </c>
      <c r="Q7" s="10">
        <v>1</v>
      </c>
      <c r="R7" s="10"/>
      <c r="S7" s="13">
        <v>46069</v>
      </c>
      <c r="T7" s="10"/>
      <c r="U7" s="10"/>
    </row>
    <row r="8" spans="1:21" x14ac:dyDescent="0.25">
      <c r="A8" s="1" t="s">
        <v>42</v>
      </c>
      <c r="B8" s="10">
        <v>911</v>
      </c>
      <c r="C8" s="10">
        <v>9211</v>
      </c>
      <c r="D8" s="19">
        <f t="shared" si="0"/>
        <v>11</v>
      </c>
      <c r="E8" s="10">
        <v>1</v>
      </c>
      <c r="F8" s="10">
        <v>2</v>
      </c>
      <c r="G8" s="10">
        <v>2</v>
      </c>
      <c r="H8" s="10"/>
      <c r="I8" s="10"/>
      <c r="J8" s="10"/>
      <c r="K8" s="10"/>
      <c r="L8" s="10">
        <v>2</v>
      </c>
      <c r="M8" s="10"/>
      <c r="N8" s="10"/>
      <c r="O8" s="10">
        <v>2</v>
      </c>
      <c r="P8" s="10">
        <v>1</v>
      </c>
      <c r="Q8" s="10"/>
      <c r="R8" s="10">
        <v>1</v>
      </c>
      <c r="S8" s="13">
        <v>46069</v>
      </c>
      <c r="T8" s="10"/>
      <c r="U8" s="10"/>
    </row>
    <row r="9" spans="1:21" x14ac:dyDescent="0.25">
      <c r="A9" s="1" t="s">
        <v>42</v>
      </c>
      <c r="B9" s="10">
        <v>912</v>
      </c>
      <c r="C9" s="10">
        <v>9204</v>
      </c>
      <c r="D9" s="19">
        <f t="shared" si="0"/>
        <v>28</v>
      </c>
      <c r="E9" s="10">
        <v>2</v>
      </c>
      <c r="F9" s="10">
        <v>2</v>
      </c>
      <c r="G9" s="10">
        <v>2</v>
      </c>
      <c r="H9" s="10">
        <v>2</v>
      </c>
      <c r="I9" s="10">
        <v>2</v>
      </c>
      <c r="J9" s="10">
        <v>2</v>
      </c>
      <c r="K9" s="10">
        <v>2</v>
      </c>
      <c r="L9" s="10">
        <v>2</v>
      </c>
      <c r="M9" s="10">
        <v>2</v>
      </c>
      <c r="N9" s="10">
        <v>2</v>
      </c>
      <c r="O9" s="10">
        <v>2</v>
      </c>
      <c r="P9" s="10">
        <v>2</v>
      </c>
      <c r="Q9" s="10">
        <v>2</v>
      </c>
      <c r="R9" s="10">
        <v>2</v>
      </c>
      <c r="S9" s="13">
        <v>46069</v>
      </c>
      <c r="T9" s="10" t="s">
        <v>25</v>
      </c>
      <c r="U9" s="10"/>
    </row>
    <row r="10" spans="1:21" x14ac:dyDescent="0.25">
      <c r="A10" s="1" t="s">
        <v>97</v>
      </c>
      <c r="B10" s="10">
        <v>918</v>
      </c>
      <c r="C10" s="10">
        <v>9262</v>
      </c>
      <c r="D10" s="19">
        <f t="shared" ref="D10:D46" si="1">SUM(E10:R10)</f>
        <v>60</v>
      </c>
      <c r="E10" s="10">
        <v>4</v>
      </c>
      <c r="F10" s="10">
        <v>4</v>
      </c>
      <c r="G10" s="10">
        <v>4</v>
      </c>
      <c r="H10" s="10">
        <v>4</v>
      </c>
      <c r="I10" s="10">
        <v>4</v>
      </c>
      <c r="J10" s="10">
        <v>4</v>
      </c>
      <c r="K10" s="10">
        <v>6</v>
      </c>
      <c r="L10" s="10">
        <v>3</v>
      </c>
      <c r="M10" s="10">
        <v>6</v>
      </c>
      <c r="N10" s="10">
        <v>3</v>
      </c>
      <c r="O10" s="10">
        <v>6</v>
      </c>
      <c r="P10" s="10">
        <v>3</v>
      </c>
      <c r="Q10" s="10">
        <v>6</v>
      </c>
      <c r="R10" s="10">
        <v>3</v>
      </c>
      <c r="S10" s="13">
        <v>46069</v>
      </c>
      <c r="T10" s="10"/>
      <c r="U10" s="10"/>
    </row>
    <row r="11" spans="1:21" x14ac:dyDescent="0.25">
      <c r="A11" s="1" t="s">
        <v>97</v>
      </c>
      <c r="B11" s="10">
        <v>919</v>
      </c>
      <c r="C11" s="10">
        <v>9262</v>
      </c>
      <c r="D11" s="19">
        <f t="shared" si="1"/>
        <v>60</v>
      </c>
      <c r="E11" s="10">
        <v>4</v>
      </c>
      <c r="F11" s="10">
        <v>4</v>
      </c>
      <c r="G11" s="10">
        <v>4</v>
      </c>
      <c r="H11" s="10">
        <v>4</v>
      </c>
      <c r="I11" s="10">
        <v>4</v>
      </c>
      <c r="J11" s="10">
        <v>4</v>
      </c>
      <c r="K11" s="10">
        <v>6</v>
      </c>
      <c r="L11" s="10">
        <v>3</v>
      </c>
      <c r="M11" s="10">
        <v>6</v>
      </c>
      <c r="N11" s="10">
        <v>3</v>
      </c>
      <c r="O11" s="10">
        <v>6</v>
      </c>
      <c r="P11" s="10">
        <v>3</v>
      </c>
      <c r="Q11" s="10">
        <v>6</v>
      </c>
      <c r="R11" s="10">
        <v>3</v>
      </c>
      <c r="S11" s="13">
        <v>46069</v>
      </c>
      <c r="T11" s="10"/>
      <c r="U11" s="10"/>
    </row>
    <row r="12" spans="1:21" x14ac:dyDescent="0.25">
      <c r="A12" s="1" t="s">
        <v>97</v>
      </c>
      <c r="B12" s="10">
        <v>920</v>
      </c>
      <c r="C12" s="10">
        <v>9242</v>
      </c>
      <c r="D12" s="19">
        <f t="shared" si="1"/>
        <v>60</v>
      </c>
      <c r="E12" s="10">
        <v>4</v>
      </c>
      <c r="F12" s="10">
        <v>4</v>
      </c>
      <c r="G12" s="10">
        <v>4</v>
      </c>
      <c r="H12" s="10">
        <v>4</v>
      </c>
      <c r="I12" s="10">
        <v>4</v>
      </c>
      <c r="J12" s="10">
        <v>4</v>
      </c>
      <c r="K12" s="10">
        <v>6</v>
      </c>
      <c r="L12" s="10">
        <v>3</v>
      </c>
      <c r="M12" s="10">
        <v>6</v>
      </c>
      <c r="N12" s="10">
        <v>3</v>
      </c>
      <c r="O12" s="10">
        <v>6</v>
      </c>
      <c r="P12" s="10">
        <v>3</v>
      </c>
      <c r="Q12" s="10">
        <v>6</v>
      </c>
      <c r="R12" s="10">
        <v>3</v>
      </c>
      <c r="S12" s="13">
        <v>46069</v>
      </c>
      <c r="T12" s="10"/>
      <c r="U12" s="10"/>
    </row>
    <row r="13" spans="1:21" x14ac:dyDescent="0.25">
      <c r="A13" s="1" t="s">
        <v>97</v>
      </c>
      <c r="B13" s="10">
        <v>921</v>
      </c>
      <c r="C13" s="10">
        <v>9231</v>
      </c>
      <c r="D13" s="19">
        <f t="shared" si="1"/>
        <v>48</v>
      </c>
      <c r="E13" s="10">
        <v>8</v>
      </c>
      <c r="F13" s="10">
        <v>8</v>
      </c>
      <c r="G13" s="10">
        <v>8</v>
      </c>
      <c r="H13" s="10">
        <v>8</v>
      </c>
      <c r="I13" s="10">
        <v>8</v>
      </c>
      <c r="J13" s="10">
        <v>8</v>
      </c>
      <c r="K13" s="10"/>
      <c r="L13" s="10"/>
      <c r="M13" s="10"/>
      <c r="N13" s="10"/>
      <c r="O13" s="10"/>
      <c r="P13" s="10"/>
      <c r="Q13" s="10"/>
      <c r="R13" s="10"/>
      <c r="S13" s="13">
        <v>46069</v>
      </c>
      <c r="T13" s="10"/>
      <c r="U13" s="10"/>
    </row>
    <row r="14" spans="1:21" x14ac:dyDescent="0.25">
      <c r="A14" s="1" t="s">
        <v>97</v>
      </c>
      <c r="B14" s="10">
        <v>922</v>
      </c>
      <c r="C14" s="10">
        <v>9231</v>
      </c>
      <c r="D14" s="19">
        <f t="shared" si="1"/>
        <v>72</v>
      </c>
      <c r="E14" s="10"/>
      <c r="F14" s="10"/>
      <c r="G14" s="10"/>
      <c r="H14" s="10"/>
      <c r="I14" s="10"/>
      <c r="J14" s="10"/>
      <c r="K14" s="10">
        <v>12</v>
      </c>
      <c r="L14" s="10">
        <v>6</v>
      </c>
      <c r="M14" s="10">
        <v>12</v>
      </c>
      <c r="N14" s="10">
        <v>6</v>
      </c>
      <c r="O14" s="10">
        <v>12</v>
      </c>
      <c r="P14" s="10">
        <v>6</v>
      </c>
      <c r="Q14" s="10">
        <v>12</v>
      </c>
      <c r="R14" s="10">
        <v>6</v>
      </c>
      <c r="S14" s="13">
        <v>46069</v>
      </c>
      <c r="T14" s="10" t="s">
        <v>25</v>
      </c>
      <c r="U14" s="10" t="s">
        <v>25</v>
      </c>
    </row>
    <row r="15" spans="1:21" x14ac:dyDescent="0.25">
      <c r="A15" s="1" t="s">
        <v>97</v>
      </c>
      <c r="B15" s="10">
        <v>923</v>
      </c>
      <c r="C15" s="10">
        <v>9219</v>
      </c>
      <c r="D15" s="19">
        <f t="shared" si="1"/>
        <v>60</v>
      </c>
      <c r="E15" s="10">
        <v>4</v>
      </c>
      <c r="F15" s="10">
        <v>4</v>
      </c>
      <c r="G15" s="10">
        <v>4</v>
      </c>
      <c r="H15" s="10">
        <v>4</v>
      </c>
      <c r="I15" s="10">
        <v>4</v>
      </c>
      <c r="J15" s="10">
        <v>4</v>
      </c>
      <c r="K15" s="10">
        <v>6</v>
      </c>
      <c r="L15" s="10">
        <v>3</v>
      </c>
      <c r="M15" s="10">
        <v>6</v>
      </c>
      <c r="N15" s="10">
        <v>3</v>
      </c>
      <c r="O15" s="10">
        <v>6</v>
      </c>
      <c r="P15" s="10">
        <v>3</v>
      </c>
      <c r="Q15" s="10">
        <v>6</v>
      </c>
      <c r="R15" s="10">
        <v>3</v>
      </c>
      <c r="S15" s="13">
        <v>46069</v>
      </c>
      <c r="T15" s="10" t="s">
        <v>25</v>
      </c>
      <c r="U15" s="10" t="s">
        <v>25</v>
      </c>
    </row>
    <row r="16" spans="1:21" x14ac:dyDescent="0.25">
      <c r="A16" s="1" t="s">
        <v>97</v>
      </c>
      <c r="B16" s="10">
        <v>924</v>
      </c>
      <c r="C16" s="10">
        <v>9225</v>
      </c>
      <c r="D16" s="19">
        <f t="shared" si="1"/>
        <v>48</v>
      </c>
      <c r="E16" s="10">
        <v>8</v>
      </c>
      <c r="F16" s="10">
        <v>8</v>
      </c>
      <c r="G16" s="10">
        <v>8</v>
      </c>
      <c r="H16" s="10">
        <v>8</v>
      </c>
      <c r="I16" s="10">
        <v>8</v>
      </c>
      <c r="J16" s="10">
        <v>8</v>
      </c>
      <c r="K16" s="10"/>
      <c r="L16" s="10"/>
      <c r="M16" s="10"/>
      <c r="N16" s="10"/>
      <c r="O16" s="10"/>
      <c r="P16" s="10"/>
      <c r="Q16" s="10"/>
      <c r="R16" s="10"/>
      <c r="S16" s="13">
        <v>46069</v>
      </c>
      <c r="T16" s="10" t="s">
        <v>53</v>
      </c>
      <c r="U16" s="10" t="s">
        <v>53</v>
      </c>
    </row>
    <row r="17" spans="1:21" x14ac:dyDescent="0.25">
      <c r="A17" s="1" t="s">
        <v>97</v>
      </c>
      <c r="B17" s="10">
        <v>925</v>
      </c>
      <c r="C17" s="10">
        <v>9225</v>
      </c>
      <c r="D17" s="19">
        <f t="shared" si="1"/>
        <v>72</v>
      </c>
      <c r="E17" s="10"/>
      <c r="F17" s="10"/>
      <c r="G17" s="10"/>
      <c r="H17" s="10"/>
      <c r="I17" s="10"/>
      <c r="J17" s="10"/>
      <c r="K17" s="10">
        <v>12</v>
      </c>
      <c r="L17" s="10">
        <v>6</v>
      </c>
      <c r="M17" s="10">
        <v>12</v>
      </c>
      <c r="N17" s="10">
        <v>6</v>
      </c>
      <c r="O17" s="10">
        <v>12</v>
      </c>
      <c r="P17" s="10">
        <v>6</v>
      </c>
      <c r="Q17" s="10">
        <v>12</v>
      </c>
      <c r="R17" s="10">
        <v>6</v>
      </c>
      <c r="S17" s="13">
        <v>46069</v>
      </c>
      <c r="T17" s="10" t="s">
        <v>53</v>
      </c>
      <c r="U17" s="10" t="s">
        <v>53</v>
      </c>
    </row>
    <row r="18" spans="1:21" x14ac:dyDescent="0.25">
      <c r="A18" s="1" t="s">
        <v>97</v>
      </c>
      <c r="B18" s="10">
        <v>926</v>
      </c>
      <c r="C18" s="10">
        <v>9225</v>
      </c>
      <c r="D18" s="19">
        <f t="shared" si="1"/>
        <v>36</v>
      </c>
      <c r="E18" s="10">
        <v>6</v>
      </c>
      <c r="F18" s="10">
        <v>6</v>
      </c>
      <c r="G18" s="10">
        <v>6</v>
      </c>
      <c r="H18" s="10">
        <v>6</v>
      </c>
      <c r="I18" s="10">
        <v>6</v>
      </c>
      <c r="J18" s="10">
        <v>6</v>
      </c>
      <c r="K18" s="10"/>
      <c r="L18" s="10"/>
      <c r="M18" s="10"/>
      <c r="N18" s="10"/>
      <c r="O18" s="10"/>
      <c r="P18" s="10"/>
      <c r="Q18" s="10"/>
      <c r="R18" s="10"/>
      <c r="S18" s="13">
        <v>46069</v>
      </c>
      <c r="T18" s="10" t="s">
        <v>53</v>
      </c>
      <c r="U18" s="10" t="s">
        <v>53</v>
      </c>
    </row>
    <row r="19" spans="1:21" x14ac:dyDescent="0.25">
      <c r="A19" s="1" t="s">
        <v>97</v>
      </c>
      <c r="B19" s="10">
        <v>927</v>
      </c>
      <c r="C19" s="10">
        <v>9225</v>
      </c>
      <c r="D19" s="19">
        <f t="shared" si="1"/>
        <v>48</v>
      </c>
      <c r="E19" s="10"/>
      <c r="F19" s="10"/>
      <c r="G19" s="10"/>
      <c r="H19" s="10"/>
      <c r="I19" s="10"/>
      <c r="J19" s="10"/>
      <c r="K19" s="10">
        <v>8</v>
      </c>
      <c r="L19" s="10">
        <v>4</v>
      </c>
      <c r="M19" s="10">
        <v>8</v>
      </c>
      <c r="N19" s="10">
        <v>4</v>
      </c>
      <c r="O19" s="10">
        <v>8</v>
      </c>
      <c r="P19" s="10">
        <v>4</v>
      </c>
      <c r="Q19" s="10">
        <v>8</v>
      </c>
      <c r="R19" s="10">
        <v>4</v>
      </c>
      <c r="S19" s="13">
        <v>46069</v>
      </c>
      <c r="T19" s="10"/>
      <c r="U19" s="10"/>
    </row>
    <row r="20" spans="1:21" x14ac:dyDescent="0.25">
      <c r="A20" s="1" t="s">
        <v>86</v>
      </c>
      <c r="B20" s="10">
        <v>928</v>
      </c>
      <c r="C20" s="10">
        <v>9232</v>
      </c>
      <c r="D20" s="19">
        <f t="shared" si="1"/>
        <v>14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1</v>
      </c>
      <c r="S20" s="13">
        <v>46070</v>
      </c>
      <c r="T20" s="10"/>
      <c r="U20" s="10"/>
    </row>
    <row r="21" spans="1:21" x14ac:dyDescent="0.25">
      <c r="A21" s="1" t="s">
        <v>96</v>
      </c>
      <c r="B21" s="10">
        <v>930</v>
      </c>
      <c r="C21" s="10">
        <v>9218</v>
      </c>
      <c r="D21" s="19">
        <f t="shared" si="1"/>
        <v>48</v>
      </c>
      <c r="E21" s="10">
        <v>4</v>
      </c>
      <c r="F21" s="10">
        <v>2</v>
      </c>
      <c r="G21" s="10">
        <v>4</v>
      </c>
      <c r="H21" s="10">
        <v>2</v>
      </c>
      <c r="I21" s="10">
        <v>6</v>
      </c>
      <c r="J21" s="10">
        <v>6</v>
      </c>
      <c r="K21" s="10">
        <v>3</v>
      </c>
      <c r="L21" s="10">
        <v>2</v>
      </c>
      <c r="M21" s="10">
        <v>3</v>
      </c>
      <c r="N21" s="10">
        <v>2</v>
      </c>
      <c r="O21" s="10">
        <v>3</v>
      </c>
      <c r="P21" s="10">
        <v>2</v>
      </c>
      <c r="Q21" s="10">
        <v>5</v>
      </c>
      <c r="R21" s="10">
        <v>4</v>
      </c>
      <c r="S21" s="13">
        <v>46071</v>
      </c>
      <c r="T21" s="10" t="s">
        <v>59</v>
      </c>
      <c r="U21" s="10" t="s">
        <v>59</v>
      </c>
    </row>
    <row r="22" spans="1:21" x14ac:dyDescent="0.25">
      <c r="A22" s="1" t="s">
        <v>96</v>
      </c>
      <c r="B22" s="10">
        <v>931</v>
      </c>
      <c r="C22" s="10">
        <v>9208</v>
      </c>
      <c r="D22" s="19">
        <f t="shared" si="1"/>
        <v>48</v>
      </c>
      <c r="E22" s="10">
        <v>4</v>
      </c>
      <c r="F22" s="10">
        <v>2</v>
      </c>
      <c r="G22" s="10">
        <v>4</v>
      </c>
      <c r="H22" s="10">
        <v>2</v>
      </c>
      <c r="I22" s="10">
        <v>6</v>
      </c>
      <c r="J22" s="10">
        <v>6</v>
      </c>
      <c r="K22" s="10">
        <v>3</v>
      </c>
      <c r="L22" s="10">
        <v>2</v>
      </c>
      <c r="M22" s="10">
        <v>3</v>
      </c>
      <c r="N22" s="10">
        <v>2</v>
      </c>
      <c r="O22" s="10">
        <v>3</v>
      </c>
      <c r="P22" s="10">
        <v>2</v>
      </c>
      <c r="Q22" s="10">
        <v>5</v>
      </c>
      <c r="R22" s="10">
        <v>4</v>
      </c>
      <c r="S22" s="13">
        <v>46071</v>
      </c>
      <c r="T22" s="10" t="s">
        <v>25</v>
      </c>
      <c r="U22" s="10" t="s">
        <v>25</v>
      </c>
    </row>
    <row r="23" spans="1:21" x14ac:dyDescent="0.25">
      <c r="A23" s="1" t="s">
        <v>96</v>
      </c>
      <c r="B23" s="10">
        <v>932</v>
      </c>
      <c r="C23" s="10">
        <v>9225</v>
      </c>
      <c r="D23" s="19">
        <f t="shared" si="1"/>
        <v>48</v>
      </c>
      <c r="E23" s="10">
        <v>4</v>
      </c>
      <c r="F23" s="10">
        <v>2</v>
      </c>
      <c r="G23" s="10">
        <v>4</v>
      </c>
      <c r="H23" s="10">
        <v>2</v>
      </c>
      <c r="I23" s="10">
        <v>6</v>
      </c>
      <c r="J23" s="10">
        <v>6</v>
      </c>
      <c r="K23" s="10">
        <v>3</v>
      </c>
      <c r="L23" s="10">
        <v>2</v>
      </c>
      <c r="M23" s="10">
        <v>3</v>
      </c>
      <c r="N23" s="10">
        <v>2</v>
      </c>
      <c r="O23" s="10">
        <v>3</v>
      </c>
      <c r="P23" s="10">
        <v>2</v>
      </c>
      <c r="Q23" s="10">
        <v>5</v>
      </c>
      <c r="R23" s="10">
        <v>4</v>
      </c>
      <c r="S23" s="13">
        <v>46071</v>
      </c>
      <c r="T23" s="1"/>
      <c r="U23" s="1"/>
    </row>
    <row r="24" spans="1:21" x14ac:dyDescent="0.25">
      <c r="A24" s="1" t="s">
        <v>96</v>
      </c>
      <c r="B24" s="10">
        <v>933</v>
      </c>
      <c r="C24" s="10">
        <v>9201</v>
      </c>
      <c r="D24" s="19">
        <f t="shared" si="1"/>
        <v>48</v>
      </c>
      <c r="E24" s="10">
        <v>4</v>
      </c>
      <c r="F24" s="10">
        <v>2</v>
      </c>
      <c r="G24" s="10">
        <v>4</v>
      </c>
      <c r="H24" s="10">
        <v>2</v>
      </c>
      <c r="I24" s="10">
        <v>6</v>
      </c>
      <c r="J24" s="10">
        <v>6</v>
      </c>
      <c r="K24" s="10">
        <v>3</v>
      </c>
      <c r="L24" s="10">
        <v>2</v>
      </c>
      <c r="M24" s="10">
        <v>3</v>
      </c>
      <c r="N24" s="10">
        <v>2</v>
      </c>
      <c r="O24" s="10">
        <v>3</v>
      </c>
      <c r="P24" s="10">
        <v>2</v>
      </c>
      <c r="Q24" s="10">
        <v>5</v>
      </c>
      <c r="R24" s="10">
        <v>4</v>
      </c>
      <c r="S24" s="13">
        <v>46071</v>
      </c>
      <c r="T24" s="10" t="s">
        <v>59</v>
      </c>
      <c r="U24" s="10" t="s">
        <v>59</v>
      </c>
    </row>
    <row r="25" spans="1:21" x14ac:dyDescent="0.25">
      <c r="A25" s="1" t="s">
        <v>96</v>
      </c>
      <c r="B25" s="10">
        <v>934</v>
      </c>
      <c r="C25" s="10">
        <v>9210</v>
      </c>
      <c r="D25" s="19">
        <f t="shared" si="1"/>
        <v>48</v>
      </c>
      <c r="E25" s="10">
        <v>4</v>
      </c>
      <c r="F25" s="10">
        <v>2</v>
      </c>
      <c r="G25" s="10">
        <v>4</v>
      </c>
      <c r="H25" s="10">
        <v>2</v>
      </c>
      <c r="I25" s="10">
        <v>6</v>
      </c>
      <c r="J25" s="10">
        <v>6</v>
      </c>
      <c r="K25" s="10">
        <v>3</v>
      </c>
      <c r="L25" s="10">
        <v>2</v>
      </c>
      <c r="M25" s="10">
        <v>3</v>
      </c>
      <c r="N25" s="10">
        <v>2</v>
      </c>
      <c r="O25" s="10">
        <v>3</v>
      </c>
      <c r="P25" s="10">
        <v>2</v>
      </c>
      <c r="Q25" s="10">
        <v>5</v>
      </c>
      <c r="R25" s="10">
        <v>4</v>
      </c>
      <c r="S25" s="13">
        <v>46071</v>
      </c>
      <c r="T25" s="10"/>
      <c r="U25" s="10"/>
    </row>
    <row r="26" spans="1:21" x14ac:dyDescent="0.25">
      <c r="A26" s="1" t="s">
        <v>96</v>
      </c>
      <c r="B26" s="10">
        <v>935</v>
      </c>
      <c r="C26" s="10">
        <v>9227</v>
      </c>
      <c r="D26" s="19">
        <f t="shared" si="1"/>
        <v>48</v>
      </c>
      <c r="E26" s="10">
        <v>4</v>
      </c>
      <c r="F26" s="10">
        <v>2</v>
      </c>
      <c r="G26" s="10">
        <v>4</v>
      </c>
      <c r="H26" s="10">
        <v>2</v>
      </c>
      <c r="I26" s="10">
        <v>6</v>
      </c>
      <c r="J26" s="10">
        <v>6</v>
      </c>
      <c r="K26" s="10">
        <v>3</v>
      </c>
      <c r="L26" s="10">
        <v>2</v>
      </c>
      <c r="M26" s="10">
        <v>3</v>
      </c>
      <c r="N26" s="10">
        <v>2</v>
      </c>
      <c r="O26" s="10">
        <v>3</v>
      </c>
      <c r="P26" s="10">
        <v>2</v>
      </c>
      <c r="Q26" s="10">
        <v>5</v>
      </c>
      <c r="R26" s="10">
        <v>4</v>
      </c>
      <c r="S26" s="13">
        <v>46071</v>
      </c>
      <c r="T26" s="10"/>
      <c r="U26" s="10"/>
    </row>
    <row r="27" spans="1:21" x14ac:dyDescent="0.25">
      <c r="A27" s="1" t="s">
        <v>96</v>
      </c>
      <c r="B27" s="10">
        <v>936</v>
      </c>
      <c r="C27" s="10">
        <v>9220</v>
      </c>
      <c r="D27" s="19">
        <f t="shared" si="1"/>
        <v>48</v>
      </c>
      <c r="E27" s="10">
        <v>4</v>
      </c>
      <c r="F27" s="10">
        <v>2</v>
      </c>
      <c r="G27" s="10">
        <v>4</v>
      </c>
      <c r="H27" s="10">
        <v>2</v>
      </c>
      <c r="I27" s="10">
        <v>6</v>
      </c>
      <c r="J27" s="10">
        <v>6</v>
      </c>
      <c r="K27" s="10">
        <v>3</v>
      </c>
      <c r="L27" s="10">
        <v>2</v>
      </c>
      <c r="M27" s="10">
        <v>3</v>
      </c>
      <c r="N27" s="10">
        <v>2</v>
      </c>
      <c r="O27" s="10">
        <v>3</v>
      </c>
      <c r="P27" s="10">
        <v>2</v>
      </c>
      <c r="Q27" s="10">
        <v>5</v>
      </c>
      <c r="R27" s="10">
        <v>4</v>
      </c>
      <c r="S27" s="13">
        <v>46071</v>
      </c>
      <c r="T27" s="10"/>
      <c r="U27" s="10"/>
    </row>
    <row r="28" spans="1:21" x14ac:dyDescent="0.25">
      <c r="A28" s="1" t="s">
        <v>96</v>
      </c>
      <c r="B28" s="10">
        <v>937</v>
      </c>
      <c r="C28" s="10">
        <v>9203</v>
      </c>
      <c r="D28" s="19">
        <f t="shared" si="1"/>
        <v>48</v>
      </c>
      <c r="E28" s="10">
        <v>4</v>
      </c>
      <c r="F28" s="10">
        <v>2</v>
      </c>
      <c r="G28" s="10">
        <v>4</v>
      </c>
      <c r="H28" s="10">
        <v>2</v>
      </c>
      <c r="I28" s="10">
        <v>6</v>
      </c>
      <c r="J28" s="10">
        <v>6</v>
      </c>
      <c r="K28" s="10">
        <v>3</v>
      </c>
      <c r="L28" s="10">
        <v>2</v>
      </c>
      <c r="M28" s="10">
        <v>3</v>
      </c>
      <c r="N28" s="10">
        <v>2</v>
      </c>
      <c r="O28" s="10">
        <v>3</v>
      </c>
      <c r="P28" s="10">
        <v>2</v>
      </c>
      <c r="Q28" s="10">
        <v>5</v>
      </c>
      <c r="R28" s="10">
        <v>4</v>
      </c>
      <c r="S28" s="13">
        <v>46071</v>
      </c>
      <c r="T28" s="10" t="s">
        <v>25</v>
      </c>
      <c r="U28" s="10" t="s">
        <v>25</v>
      </c>
    </row>
    <row r="29" spans="1:21" x14ac:dyDescent="0.25">
      <c r="A29" s="1" t="s">
        <v>76</v>
      </c>
      <c r="B29" s="10">
        <v>939</v>
      </c>
      <c r="C29" s="10">
        <v>9210</v>
      </c>
      <c r="D29" s="19">
        <f t="shared" si="1"/>
        <v>35</v>
      </c>
      <c r="E29" s="10">
        <v>1</v>
      </c>
      <c r="F29" s="10">
        <v>1</v>
      </c>
      <c r="G29" s="10">
        <v>1</v>
      </c>
      <c r="H29" s="10">
        <v>1</v>
      </c>
      <c r="I29" s="10">
        <v>4</v>
      </c>
      <c r="J29" s="10">
        <v>3</v>
      </c>
      <c r="K29" s="10">
        <v>3</v>
      </c>
      <c r="L29" s="10">
        <v>3</v>
      </c>
      <c r="M29" s="10">
        <v>3</v>
      </c>
      <c r="N29" s="10">
        <v>4</v>
      </c>
      <c r="O29" s="10">
        <v>3</v>
      </c>
      <c r="P29" s="10">
        <v>4</v>
      </c>
      <c r="Q29" s="10">
        <v>2</v>
      </c>
      <c r="R29" s="10">
        <v>2</v>
      </c>
      <c r="S29" s="13">
        <v>46071</v>
      </c>
      <c r="T29" s="10" t="s">
        <v>59</v>
      </c>
      <c r="U29" s="10" t="s">
        <v>59</v>
      </c>
    </row>
    <row r="30" spans="1:21" x14ac:dyDescent="0.25">
      <c r="A30" s="1" t="s">
        <v>76</v>
      </c>
      <c r="B30" s="10">
        <v>940</v>
      </c>
      <c r="C30" s="10">
        <v>1001</v>
      </c>
      <c r="D30" s="19">
        <f t="shared" si="1"/>
        <v>29</v>
      </c>
      <c r="E30" s="10">
        <v>3</v>
      </c>
      <c r="F30" s="10">
        <v>1</v>
      </c>
      <c r="G30" s="10">
        <v>3</v>
      </c>
      <c r="H30" s="10">
        <v>3</v>
      </c>
      <c r="I30" s="10">
        <v>3</v>
      </c>
      <c r="J30" s="10">
        <v>2</v>
      </c>
      <c r="K30" s="10"/>
      <c r="L30" s="10">
        <v>4</v>
      </c>
      <c r="M30" s="10">
        <v>2</v>
      </c>
      <c r="N30" s="10">
        <v>3</v>
      </c>
      <c r="O30" s="10">
        <v>2</v>
      </c>
      <c r="P30" s="10"/>
      <c r="Q30" s="10">
        <v>1</v>
      </c>
      <c r="R30" s="10">
        <v>2</v>
      </c>
      <c r="S30" s="13">
        <v>46071</v>
      </c>
      <c r="T30" s="10"/>
      <c r="U30" s="10"/>
    </row>
    <row r="31" spans="1:21" x14ac:dyDescent="0.25">
      <c r="A31" s="1" t="s">
        <v>34</v>
      </c>
      <c r="B31" s="10">
        <v>941</v>
      </c>
      <c r="C31" s="10">
        <v>9231</v>
      </c>
      <c r="D31" s="19">
        <f t="shared" si="1"/>
        <v>24</v>
      </c>
      <c r="E31" s="10">
        <v>2</v>
      </c>
      <c r="F31" s="10">
        <v>2</v>
      </c>
      <c r="G31" s="10">
        <v>2</v>
      </c>
      <c r="H31" s="10">
        <v>2</v>
      </c>
      <c r="I31" s="10">
        <v>2</v>
      </c>
      <c r="J31" s="10">
        <v>2</v>
      </c>
      <c r="K31" s="10">
        <v>2</v>
      </c>
      <c r="L31" s="10">
        <v>1</v>
      </c>
      <c r="M31" s="10">
        <v>2</v>
      </c>
      <c r="N31" s="10">
        <v>1</v>
      </c>
      <c r="O31" s="10">
        <v>2</v>
      </c>
      <c r="P31" s="10">
        <v>1</v>
      </c>
      <c r="Q31" s="10">
        <v>2</v>
      </c>
      <c r="R31" s="10">
        <v>1</v>
      </c>
      <c r="S31" s="13">
        <v>46072</v>
      </c>
      <c r="T31" s="10"/>
      <c r="U31" s="10"/>
    </row>
    <row r="32" spans="1:21" x14ac:dyDescent="0.25">
      <c r="A32" s="1" t="s">
        <v>34</v>
      </c>
      <c r="B32" s="10">
        <v>942</v>
      </c>
      <c r="C32" s="10">
        <v>9231</v>
      </c>
      <c r="D32" s="19">
        <f t="shared" si="1"/>
        <v>24</v>
      </c>
      <c r="E32" s="10">
        <v>2</v>
      </c>
      <c r="F32" s="10">
        <v>2</v>
      </c>
      <c r="G32" s="10">
        <v>2</v>
      </c>
      <c r="H32" s="10">
        <v>2</v>
      </c>
      <c r="I32" s="10">
        <v>2</v>
      </c>
      <c r="J32" s="10">
        <v>2</v>
      </c>
      <c r="K32" s="10">
        <v>2</v>
      </c>
      <c r="L32" s="10">
        <v>1</v>
      </c>
      <c r="M32" s="10">
        <v>2</v>
      </c>
      <c r="N32" s="10">
        <v>1</v>
      </c>
      <c r="O32" s="10">
        <v>2</v>
      </c>
      <c r="P32" s="10">
        <v>1</v>
      </c>
      <c r="Q32" s="10">
        <v>2</v>
      </c>
      <c r="R32" s="10">
        <v>1</v>
      </c>
      <c r="S32" s="13">
        <v>46072</v>
      </c>
      <c r="T32" s="10"/>
      <c r="U32" s="10"/>
    </row>
    <row r="33" spans="1:21" x14ac:dyDescent="0.25">
      <c r="A33" s="1" t="s">
        <v>34</v>
      </c>
      <c r="B33" s="10">
        <v>943</v>
      </c>
      <c r="C33" s="10">
        <v>9232</v>
      </c>
      <c r="D33" s="19">
        <f t="shared" si="1"/>
        <v>24</v>
      </c>
      <c r="E33" s="10">
        <v>2</v>
      </c>
      <c r="F33" s="10">
        <v>2</v>
      </c>
      <c r="G33" s="10">
        <v>2</v>
      </c>
      <c r="H33" s="10">
        <v>2</v>
      </c>
      <c r="I33" s="10">
        <v>2</v>
      </c>
      <c r="J33" s="10">
        <v>2</v>
      </c>
      <c r="K33" s="10">
        <v>2</v>
      </c>
      <c r="L33" s="10">
        <v>1</v>
      </c>
      <c r="M33" s="10">
        <v>2</v>
      </c>
      <c r="N33" s="10">
        <v>1</v>
      </c>
      <c r="O33" s="10">
        <v>2</v>
      </c>
      <c r="P33" s="10">
        <v>1</v>
      </c>
      <c r="Q33" s="10">
        <v>2</v>
      </c>
      <c r="R33" s="10">
        <v>1</v>
      </c>
      <c r="S33" s="13">
        <v>46072</v>
      </c>
      <c r="T33" s="10"/>
      <c r="U33" s="10"/>
    </row>
    <row r="34" spans="1:21" x14ac:dyDescent="0.25">
      <c r="A34" s="1" t="s">
        <v>34</v>
      </c>
      <c r="B34" s="10">
        <v>944</v>
      </c>
      <c r="C34" s="10">
        <v>9232</v>
      </c>
      <c r="D34" s="19">
        <f t="shared" si="1"/>
        <v>24</v>
      </c>
      <c r="E34" s="10">
        <v>2</v>
      </c>
      <c r="F34" s="10">
        <v>2</v>
      </c>
      <c r="G34" s="10">
        <v>2</v>
      </c>
      <c r="H34" s="10">
        <v>2</v>
      </c>
      <c r="I34" s="10">
        <v>2</v>
      </c>
      <c r="J34" s="10">
        <v>2</v>
      </c>
      <c r="K34" s="10">
        <v>2</v>
      </c>
      <c r="L34" s="10">
        <v>1</v>
      </c>
      <c r="M34" s="10">
        <v>2</v>
      </c>
      <c r="N34" s="10">
        <v>1</v>
      </c>
      <c r="O34" s="10">
        <v>2</v>
      </c>
      <c r="P34" s="10">
        <v>1</v>
      </c>
      <c r="Q34" s="10">
        <v>2</v>
      </c>
      <c r="R34" s="10">
        <v>1</v>
      </c>
      <c r="S34" s="13">
        <v>46072</v>
      </c>
      <c r="T34" s="10"/>
      <c r="U34" s="10"/>
    </row>
    <row r="35" spans="1:21" x14ac:dyDescent="0.25">
      <c r="A35" s="1" t="s">
        <v>99</v>
      </c>
      <c r="B35" s="10">
        <v>945</v>
      </c>
      <c r="C35" s="10">
        <v>9264</v>
      </c>
      <c r="D35" s="19">
        <f t="shared" si="1"/>
        <v>14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3">
        <v>46072</v>
      </c>
      <c r="T35" s="10" t="s">
        <v>53</v>
      </c>
      <c r="U35" s="10" t="s">
        <v>53</v>
      </c>
    </row>
    <row r="36" spans="1:21" x14ac:dyDescent="0.25">
      <c r="A36" s="1" t="s">
        <v>99</v>
      </c>
      <c r="B36" s="10">
        <v>946</v>
      </c>
      <c r="C36" s="10">
        <v>9241</v>
      </c>
      <c r="D36" s="19">
        <f t="shared" si="1"/>
        <v>14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3">
        <v>46072</v>
      </c>
      <c r="T36" s="10"/>
      <c r="U36" s="10"/>
    </row>
    <row r="37" spans="1:21" x14ac:dyDescent="0.25">
      <c r="A37" s="1" t="s">
        <v>99</v>
      </c>
      <c r="B37" s="10">
        <v>947</v>
      </c>
      <c r="C37" s="10">
        <v>9241</v>
      </c>
      <c r="D37" s="19">
        <f t="shared" si="1"/>
        <v>14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</v>
      </c>
      <c r="R37" s="10">
        <v>1</v>
      </c>
      <c r="S37" s="13">
        <v>46072</v>
      </c>
      <c r="T37" s="10"/>
      <c r="U37" s="10"/>
    </row>
    <row r="38" spans="1:21" ht="18" customHeight="1" x14ac:dyDescent="0.25">
      <c r="A38" s="1" t="s">
        <v>100</v>
      </c>
      <c r="B38" s="10">
        <v>948</v>
      </c>
      <c r="C38" s="10">
        <v>9237</v>
      </c>
      <c r="D38" s="19">
        <f t="shared" si="1"/>
        <v>28</v>
      </c>
      <c r="E38" s="10"/>
      <c r="F38" s="10">
        <v>1</v>
      </c>
      <c r="G38" s="10">
        <v>1</v>
      </c>
      <c r="H38" s="10">
        <v>2</v>
      </c>
      <c r="I38" s="10">
        <v>2</v>
      </c>
      <c r="J38" s="10">
        <v>3</v>
      </c>
      <c r="K38" s="10">
        <v>3</v>
      </c>
      <c r="L38" s="10">
        <v>3</v>
      </c>
      <c r="M38" s="10">
        <v>3</v>
      </c>
      <c r="N38" s="10">
        <v>2</v>
      </c>
      <c r="O38" s="10">
        <v>2</v>
      </c>
      <c r="P38" s="10">
        <v>2</v>
      </c>
      <c r="Q38" s="10">
        <v>2</v>
      </c>
      <c r="R38" s="10">
        <v>2</v>
      </c>
      <c r="S38" s="13">
        <v>46072</v>
      </c>
      <c r="T38" s="10" t="s">
        <v>25</v>
      </c>
      <c r="U38" s="10" t="s">
        <v>25</v>
      </c>
    </row>
    <row r="39" spans="1:21" ht="18" customHeight="1" x14ac:dyDescent="0.25">
      <c r="A39" s="1" t="s">
        <v>100</v>
      </c>
      <c r="B39" s="10">
        <v>949</v>
      </c>
      <c r="C39" s="10">
        <v>9267</v>
      </c>
      <c r="D39" s="19">
        <f t="shared" si="1"/>
        <v>28</v>
      </c>
      <c r="E39" s="10"/>
      <c r="F39" s="10">
        <v>1</v>
      </c>
      <c r="G39" s="10">
        <v>1</v>
      </c>
      <c r="H39" s="10">
        <v>2</v>
      </c>
      <c r="I39" s="10">
        <v>2</v>
      </c>
      <c r="J39" s="10">
        <v>3</v>
      </c>
      <c r="K39" s="10">
        <v>3</v>
      </c>
      <c r="L39" s="10">
        <v>3</v>
      </c>
      <c r="M39" s="10">
        <v>3</v>
      </c>
      <c r="N39" s="10">
        <v>2</v>
      </c>
      <c r="O39" s="10">
        <v>2</v>
      </c>
      <c r="P39" s="10">
        <v>2</v>
      </c>
      <c r="Q39" s="10">
        <v>2</v>
      </c>
      <c r="R39" s="10">
        <v>2</v>
      </c>
      <c r="S39" s="13">
        <v>46072</v>
      </c>
      <c r="T39" s="10" t="s">
        <v>25</v>
      </c>
      <c r="U39" s="10" t="s">
        <v>25</v>
      </c>
    </row>
    <row r="40" spans="1:21" ht="18" customHeight="1" x14ac:dyDescent="0.25">
      <c r="A40" s="1" t="s">
        <v>100</v>
      </c>
      <c r="B40" s="10">
        <v>950</v>
      </c>
      <c r="C40" s="10">
        <v>9220</v>
      </c>
      <c r="D40" s="19">
        <f t="shared" si="1"/>
        <v>28</v>
      </c>
      <c r="E40" s="10"/>
      <c r="F40" s="10">
        <v>1</v>
      </c>
      <c r="G40" s="10">
        <v>1</v>
      </c>
      <c r="H40" s="10">
        <v>2</v>
      </c>
      <c r="I40" s="10">
        <v>2</v>
      </c>
      <c r="J40" s="10">
        <v>3</v>
      </c>
      <c r="K40" s="10">
        <v>3</v>
      </c>
      <c r="L40" s="10">
        <v>3</v>
      </c>
      <c r="M40" s="10">
        <v>3</v>
      </c>
      <c r="N40" s="10">
        <v>2</v>
      </c>
      <c r="O40" s="10">
        <v>2</v>
      </c>
      <c r="P40" s="10">
        <v>2</v>
      </c>
      <c r="Q40" s="10">
        <v>2</v>
      </c>
      <c r="R40" s="10">
        <v>2</v>
      </c>
      <c r="S40" s="13">
        <v>46072</v>
      </c>
      <c r="T40" s="10"/>
      <c r="U40" s="10"/>
    </row>
    <row r="41" spans="1:21" ht="18" customHeight="1" x14ac:dyDescent="0.25">
      <c r="A41" s="1" t="s">
        <v>100</v>
      </c>
      <c r="B41" s="10">
        <v>951</v>
      </c>
      <c r="C41" s="10">
        <v>9243</v>
      </c>
      <c r="D41" s="19">
        <f t="shared" si="1"/>
        <v>28</v>
      </c>
      <c r="E41" s="10"/>
      <c r="F41" s="10">
        <v>1</v>
      </c>
      <c r="G41" s="10">
        <v>1</v>
      </c>
      <c r="H41" s="10">
        <v>2</v>
      </c>
      <c r="I41" s="10">
        <v>2</v>
      </c>
      <c r="J41" s="10">
        <v>3</v>
      </c>
      <c r="K41" s="10">
        <v>3</v>
      </c>
      <c r="L41" s="10">
        <v>3</v>
      </c>
      <c r="M41" s="10">
        <v>3</v>
      </c>
      <c r="N41" s="10">
        <v>2</v>
      </c>
      <c r="O41" s="10">
        <v>2</v>
      </c>
      <c r="P41" s="10">
        <v>2</v>
      </c>
      <c r="Q41" s="10">
        <v>2</v>
      </c>
      <c r="R41" s="10">
        <v>2</v>
      </c>
      <c r="S41" s="13">
        <v>46072</v>
      </c>
      <c r="T41" s="10" t="s">
        <v>53</v>
      </c>
      <c r="U41" s="10" t="s">
        <v>53</v>
      </c>
    </row>
    <row r="42" spans="1:21" ht="18" customHeight="1" x14ac:dyDescent="0.25">
      <c r="A42" s="1" t="s">
        <v>100</v>
      </c>
      <c r="B42" s="10">
        <v>952</v>
      </c>
      <c r="C42" s="10">
        <v>9263</v>
      </c>
      <c r="D42" s="19">
        <f t="shared" si="1"/>
        <v>28</v>
      </c>
      <c r="E42" s="10"/>
      <c r="F42" s="10">
        <v>1</v>
      </c>
      <c r="G42" s="10">
        <v>1</v>
      </c>
      <c r="H42" s="10">
        <v>2</v>
      </c>
      <c r="I42" s="10">
        <v>2</v>
      </c>
      <c r="J42" s="10">
        <v>3</v>
      </c>
      <c r="K42" s="10">
        <v>3</v>
      </c>
      <c r="L42" s="10">
        <v>3</v>
      </c>
      <c r="M42" s="10">
        <v>3</v>
      </c>
      <c r="N42" s="10">
        <v>2</v>
      </c>
      <c r="O42" s="10">
        <v>2</v>
      </c>
      <c r="P42" s="10">
        <v>2</v>
      </c>
      <c r="Q42" s="10">
        <v>2</v>
      </c>
      <c r="R42" s="10">
        <v>2</v>
      </c>
      <c r="S42" s="13">
        <v>46072</v>
      </c>
      <c r="T42" s="10" t="s">
        <v>25</v>
      </c>
      <c r="U42" s="10" t="s">
        <v>25</v>
      </c>
    </row>
    <row r="43" spans="1:21" ht="18" customHeight="1" x14ac:dyDescent="0.25">
      <c r="A43" s="1" t="s">
        <v>100</v>
      </c>
      <c r="B43" s="10">
        <v>953</v>
      </c>
      <c r="C43" s="10">
        <v>9231</v>
      </c>
      <c r="D43" s="19">
        <f t="shared" si="1"/>
        <v>28</v>
      </c>
      <c r="E43" s="10"/>
      <c r="F43" s="10">
        <v>1</v>
      </c>
      <c r="G43" s="10">
        <v>1</v>
      </c>
      <c r="H43" s="10">
        <v>2</v>
      </c>
      <c r="I43" s="10">
        <v>2</v>
      </c>
      <c r="J43" s="10">
        <v>3</v>
      </c>
      <c r="K43" s="10">
        <v>3</v>
      </c>
      <c r="L43" s="10">
        <v>3</v>
      </c>
      <c r="M43" s="10">
        <v>3</v>
      </c>
      <c r="N43" s="10">
        <v>2</v>
      </c>
      <c r="O43" s="10">
        <v>2</v>
      </c>
      <c r="P43" s="10">
        <v>2</v>
      </c>
      <c r="Q43" s="10">
        <v>2</v>
      </c>
      <c r="R43" s="10">
        <v>2</v>
      </c>
      <c r="S43" s="13">
        <v>46072</v>
      </c>
      <c r="T43" s="10" t="s">
        <v>25</v>
      </c>
      <c r="U43" s="10" t="s">
        <v>25</v>
      </c>
    </row>
    <row r="44" spans="1:21" ht="18" customHeight="1" x14ac:dyDescent="0.25">
      <c r="A44" s="1" t="s">
        <v>100</v>
      </c>
      <c r="B44" s="10">
        <v>954</v>
      </c>
      <c r="C44" s="10">
        <v>9242</v>
      </c>
      <c r="D44" s="19">
        <f t="shared" si="1"/>
        <v>28</v>
      </c>
      <c r="E44" s="10"/>
      <c r="F44" s="10">
        <v>1</v>
      </c>
      <c r="G44" s="10">
        <v>1</v>
      </c>
      <c r="H44" s="10">
        <v>2</v>
      </c>
      <c r="I44" s="10">
        <v>2</v>
      </c>
      <c r="J44" s="10">
        <v>3</v>
      </c>
      <c r="K44" s="10">
        <v>3</v>
      </c>
      <c r="L44" s="10">
        <v>3</v>
      </c>
      <c r="M44" s="10">
        <v>3</v>
      </c>
      <c r="N44" s="10">
        <v>2</v>
      </c>
      <c r="O44" s="10">
        <v>2</v>
      </c>
      <c r="P44" s="10">
        <v>2</v>
      </c>
      <c r="Q44" s="10">
        <v>2</v>
      </c>
      <c r="R44" s="10">
        <v>2</v>
      </c>
      <c r="S44" s="13">
        <v>46072</v>
      </c>
      <c r="T44" s="10" t="s">
        <v>53</v>
      </c>
      <c r="U44" s="10" t="s">
        <v>53</v>
      </c>
    </row>
    <row r="45" spans="1:21" ht="18" customHeight="1" x14ac:dyDescent="0.25">
      <c r="A45" s="1" t="s">
        <v>100</v>
      </c>
      <c r="B45" s="10">
        <v>955</v>
      </c>
      <c r="C45" s="10">
        <v>9262</v>
      </c>
      <c r="D45" s="19">
        <f t="shared" si="1"/>
        <v>28</v>
      </c>
      <c r="E45" s="10"/>
      <c r="F45" s="10">
        <v>1</v>
      </c>
      <c r="G45" s="10">
        <v>1</v>
      </c>
      <c r="H45" s="10">
        <v>2</v>
      </c>
      <c r="I45" s="10">
        <v>2</v>
      </c>
      <c r="J45" s="10">
        <v>3</v>
      </c>
      <c r="K45" s="10">
        <v>3</v>
      </c>
      <c r="L45" s="10">
        <v>3</v>
      </c>
      <c r="M45" s="10">
        <v>3</v>
      </c>
      <c r="N45" s="10">
        <v>2</v>
      </c>
      <c r="O45" s="10">
        <v>2</v>
      </c>
      <c r="P45" s="10">
        <v>2</v>
      </c>
      <c r="Q45" s="10">
        <v>2</v>
      </c>
      <c r="R45" s="10">
        <v>2</v>
      </c>
      <c r="S45" s="13">
        <v>46072</v>
      </c>
      <c r="T45" s="10" t="s">
        <v>25</v>
      </c>
      <c r="U45" s="10" t="s">
        <v>25</v>
      </c>
    </row>
    <row r="46" spans="1:21" ht="18" customHeight="1" x14ac:dyDescent="0.25">
      <c r="A46" s="1" t="s">
        <v>100</v>
      </c>
      <c r="B46" s="10">
        <v>956</v>
      </c>
      <c r="C46" s="10">
        <v>9220</v>
      </c>
      <c r="D46" s="19">
        <f t="shared" si="1"/>
        <v>28</v>
      </c>
      <c r="E46" s="10"/>
      <c r="F46" s="10">
        <v>1</v>
      </c>
      <c r="G46" s="10">
        <v>1</v>
      </c>
      <c r="H46" s="10">
        <v>2</v>
      </c>
      <c r="I46" s="10">
        <v>2</v>
      </c>
      <c r="J46" s="10">
        <v>3</v>
      </c>
      <c r="K46" s="10">
        <v>3</v>
      </c>
      <c r="L46" s="10">
        <v>3</v>
      </c>
      <c r="M46" s="10">
        <v>3</v>
      </c>
      <c r="N46" s="10">
        <v>2</v>
      </c>
      <c r="O46" s="10">
        <v>2</v>
      </c>
      <c r="P46" s="10">
        <v>2</v>
      </c>
      <c r="Q46" s="10">
        <v>2</v>
      </c>
      <c r="R46" s="10">
        <v>2</v>
      </c>
      <c r="S46" s="13">
        <v>46072</v>
      </c>
      <c r="T46" s="10" t="s">
        <v>53</v>
      </c>
      <c r="U46" s="10"/>
    </row>
    <row r="47" spans="1:21" x14ac:dyDescent="0.25">
      <c r="D47" s="21">
        <f>SUM(D3:D46)</f>
        <v>1555</v>
      </c>
    </row>
    <row r="49" spans="1:21" x14ac:dyDescent="0.25">
      <c r="E49" s="40">
        <v>22</v>
      </c>
      <c r="F49" s="41">
        <v>22.5</v>
      </c>
      <c r="G49" s="41">
        <v>23</v>
      </c>
      <c r="H49" s="41">
        <v>23.5</v>
      </c>
      <c r="I49" s="41">
        <v>24</v>
      </c>
      <c r="J49" s="41">
        <v>24.5</v>
      </c>
      <c r="K49" s="41">
        <v>25</v>
      </c>
      <c r="L49" s="41">
        <v>25.5</v>
      </c>
      <c r="M49" s="41">
        <v>26</v>
      </c>
    </row>
    <row r="50" spans="1:21" x14ac:dyDescent="0.25">
      <c r="A50" s="1" t="s">
        <v>42</v>
      </c>
      <c r="B50" s="10">
        <v>913</v>
      </c>
      <c r="C50" s="39">
        <v>9227</v>
      </c>
      <c r="D50" s="19">
        <f>SUM(E50:R50)</f>
        <v>16</v>
      </c>
      <c r="E50" s="10">
        <v>2</v>
      </c>
      <c r="F50" s="10">
        <v>2</v>
      </c>
      <c r="G50" s="10">
        <v>2</v>
      </c>
      <c r="H50" s="10">
        <v>2</v>
      </c>
      <c r="I50" s="10">
        <v>2</v>
      </c>
      <c r="J50" s="10">
        <v>2</v>
      </c>
      <c r="K50" s="10">
        <v>2</v>
      </c>
      <c r="L50" s="10">
        <v>2</v>
      </c>
      <c r="M50" s="10"/>
      <c r="N50" s="10"/>
      <c r="O50" s="10"/>
      <c r="P50" s="10"/>
      <c r="Q50" s="10"/>
      <c r="R50" s="10"/>
      <c r="S50" s="13">
        <v>46069</v>
      </c>
      <c r="T50" s="10"/>
      <c r="U50" s="10"/>
    </row>
    <row r="51" spans="1:21" x14ac:dyDescent="0.25">
      <c r="A51" s="1" t="s">
        <v>42</v>
      </c>
      <c r="B51" s="10">
        <v>914</v>
      </c>
      <c r="C51" s="39">
        <v>9203</v>
      </c>
      <c r="D51" s="19">
        <f>SUM(E51:R51)</f>
        <v>16</v>
      </c>
      <c r="E51" s="10">
        <v>2</v>
      </c>
      <c r="F51" s="10">
        <v>2</v>
      </c>
      <c r="G51" s="10">
        <v>2</v>
      </c>
      <c r="H51" s="10">
        <v>2</v>
      </c>
      <c r="I51" s="10">
        <v>2</v>
      </c>
      <c r="J51" s="10">
        <v>2</v>
      </c>
      <c r="K51" s="10">
        <v>2</v>
      </c>
      <c r="L51" s="10">
        <v>2</v>
      </c>
      <c r="M51" s="10"/>
      <c r="N51" s="10"/>
      <c r="O51" s="10"/>
      <c r="P51" s="10"/>
      <c r="Q51" s="10"/>
      <c r="R51" s="10"/>
      <c r="S51" s="13">
        <v>46069</v>
      </c>
      <c r="T51" s="10"/>
      <c r="U51" s="10"/>
    </row>
    <row r="52" spans="1:21" x14ac:dyDescent="0.25">
      <c r="A52" s="1" t="s">
        <v>42</v>
      </c>
      <c r="B52" s="10">
        <v>915</v>
      </c>
      <c r="C52" s="39">
        <v>9205</v>
      </c>
      <c r="D52" s="19">
        <f>SUM(E52:R52)</f>
        <v>17</v>
      </c>
      <c r="E52" s="10">
        <v>2</v>
      </c>
      <c r="F52" s="10">
        <v>2</v>
      </c>
      <c r="G52" s="10">
        <v>2</v>
      </c>
      <c r="H52" s="10">
        <v>2</v>
      </c>
      <c r="I52" s="10">
        <v>2</v>
      </c>
      <c r="J52" s="10">
        <v>2</v>
      </c>
      <c r="K52" s="10">
        <v>2</v>
      </c>
      <c r="L52" s="10">
        <v>2</v>
      </c>
      <c r="M52" s="10">
        <v>1</v>
      </c>
      <c r="N52" s="10"/>
      <c r="O52" s="10"/>
      <c r="P52" s="10"/>
      <c r="Q52" s="10"/>
      <c r="R52" s="10"/>
      <c r="S52" s="13">
        <v>46069</v>
      </c>
      <c r="T52" s="10" t="s">
        <v>53</v>
      </c>
      <c r="U52" s="10" t="s">
        <v>53</v>
      </c>
    </row>
    <row r="53" spans="1:21" x14ac:dyDescent="0.25">
      <c r="A53" s="1" t="s">
        <v>42</v>
      </c>
      <c r="B53" s="10">
        <v>916</v>
      </c>
      <c r="C53" s="39" t="s">
        <v>95</v>
      </c>
      <c r="D53" s="19">
        <f>SUM(E53:R53)</f>
        <v>17</v>
      </c>
      <c r="E53" s="10">
        <v>2</v>
      </c>
      <c r="F53" s="10">
        <v>2</v>
      </c>
      <c r="G53" s="10">
        <v>2</v>
      </c>
      <c r="H53" s="10">
        <v>2</v>
      </c>
      <c r="I53" s="10">
        <v>2</v>
      </c>
      <c r="J53" s="10">
        <v>2</v>
      </c>
      <c r="K53" s="10">
        <v>2</v>
      </c>
      <c r="L53" s="10">
        <v>2</v>
      </c>
      <c r="M53" s="10">
        <v>1</v>
      </c>
      <c r="N53" s="10"/>
      <c r="O53" s="10"/>
      <c r="P53" s="10"/>
      <c r="Q53" s="10"/>
      <c r="R53" s="10"/>
      <c r="S53" s="13">
        <v>46069</v>
      </c>
      <c r="T53" s="10"/>
      <c r="U53" s="10"/>
    </row>
    <row r="54" spans="1:21" x14ac:dyDescent="0.25">
      <c r="D54" s="19">
        <f>SUM(D50:D53)</f>
        <v>66</v>
      </c>
    </row>
    <row r="55" spans="1:21" ht="15" customHeight="1" x14ac:dyDescent="0.25"/>
    <row r="56" spans="1:21" ht="15" customHeight="1" x14ac:dyDescent="0.25"/>
    <row r="57" spans="1:21" ht="15" customHeight="1" x14ac:dyDescent="0.25"/>
    <row r="58" spans="1:21" ht="15" customHeight="1" x14ac:dyDescent="0.25"/>
    <row r="59" spans="1:21" ht="15" customHeight="1" x14ac:dyDescent="0.25"/>
  </sheetData>
  <mergeCells count="4">
    <mergeCell ref="S1:S2"/>
    <mergeCell ref="T1:U1"/>
    <mergeCell ref="A1:D1"/>
    <mergeCell ref="E1:R1"/>
  </mergeCells>
  <pageMargins left="0.7" right="0.7" top="0.75" bottom="0.75" header="0.3" footer="0.3"/>
  <pageSetup paperSize="256" orientation="portrait" horizontalDpi="203" verticalDpi="203" r:id="rId1"/>
  <ignoredErrors>
    <ignoredError sqref="D3:D9 D10:D46 D50:D54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74"/>
  <sheetViews>
    <sheetView workbookViewId="0">
      <selection activeCell="A14" sqref="A14:XFD15"/>
    </sheetView>
  </sheetViews>
  <sheetFormatPr defaultColWidth="11.42578125" defaultRowHeight="15" x14ac:dyDescent="0.25"/>
  <cols>
    <col min="1" max="1" width="22.140625" customWidth="1"/>
    <col min="5" max="5" width="3.7109375" customWidth="1"/>
    <col min="6" max="6" width="5.28515625" customWidth="1"/>
    <col min="7" max="7" width="3.85546875" customWidth="1"/>
    <col min="8" max="8" width="4.85546875" customWidth="1"/>
    <col min="9" max="9" width="3.42578125" customWidth="1"/>
    <col min="10" max="10" width="5.7109375" customWidth="1"/>
    <col min="11" max="11" width="4" customWidth="1"/>
    <col min="12" max="12" width="6" customWidth="1"/>
    <col min="13" max="13" width="4.5703125" customWidth="1"/>
    <col min="14" max="14" width="5.7109375" customWidth="1"/>
    <col min="15" max="15" width="4.28515625" customWidth="1"/>
    <col min="16" max="16" width="5.42578125" customWidth="1"/>
    <col min="17" max="17" width="4.85546875" customWidth="1"/>
    <col min="18" max="18" width="6.28515625" customWidth="1"/>
    <col min="19" max="19" width="17.85546875" customWidth="1"/>
    <col min="20" max="20" width="13.140625" customWidth="1"/>
    <col min="21" max="21" width="13.28515625" customWidth="1"/>
  </cols>
  <sheetData>
    <row r="1" spans="1:21" ht="18.75" x14ac:dyDescent="0.25">
      <c r="A1" s="63" t="s">
        <v>98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66"/>
      <c r="T2" s="22" t="s">
        <v>9</v>
      </c>
      <c r="U2" s="22" t="s">
        <v>10</v>
      </c>
    </row>
    <row r="3" spans="1:21" x14ac:dyDescent="0.25">
      <c r="A3" s="1" t="s">
        <v>33</v>
      </c>
      <c r="B3" s="10">
        <v>963</v>
      </c>
      <c r="C3" s="10">
        <v>9220</v>
      </c>
      <c r="D3" s="32">
        <f>SUM(E3:R3)</f>
        <v>60</v>
      </c>
      <c r="E3" s="10">
        <v>4</v>
      </c>
      <c r="F3" s="10">
        <v>4</v>
      </c>
      <c r="G3" s="10">
        <v>4</v>
      </c>
      <c r="H3" s="10">
        <v>4</v>
      </c>
      <c r="I3" s="10">
        <v>4</v>
      </c>
      <c r="J3" s="10">
        <v>4</v>
      </c>
      <c r="K3" s="10">
        <v>6</v>
      </c>
      <c r="L3" s="10">
        <v>3</v>
      </c>
      <c r="M3" s="10">
        <v>6</v>
      </c>
      <c r="N3" s="10">
        <v>3</v>
      </c>
      <c r="O3" s="10">
        <v>6</v>
      </c>
      <c r="P3" s="10">
        <v>3</v>
      </c>
      <c r="Q3" s="10">
        <v>6</v>
      </c>
      <c r="R3" s="10">
        <v>3</v>
      </c>
      <c r="S3" s="13">
        <v>46077</v>
      </c>
      <c r="T3" s="10" t="s">
        <v>53</v>
      </c>
      <c r="U3" s="10" t="s">
        <v>53</v>
      </c>
    </row>
    <row r="4" spans="1:21" x14ac:dyDescent="0.25">
      <c r="A4" s="1" t="s">
        <v>33</v>
      </c>
      <c r="B4" s="10">
        <v>964</v>
      </c>
      <c r="C4" s="10">
        <v>9248</v>
      </c>
      <c r="D4" s="32">
        <f t="shared" ref="D4:D17" si="0">SUM(E4:R4)</f>
        <v>48</v>
      </c>
      <c r="E4" s="10">
        <v>4</v>
      </c>
      <c r="F4" s="10">
        <v>4</v>
      </c>
      <c r="G4" s="10">
        <v>4</v>
      </c>
      <c r="H4" s="10">
        <v>4</v>
      </c>
      <c r="I4" s="10">
        <v>4</v>
      </c>
      <c r="J4" s="10">
        <v>4</v>
      </c>
      <c r="K4" s="10">
        <v>4</v>
      </c>
      <c r="L4" s="10">
        <v>2</v>
      </c>
      <c r="M4" s="10">
        <v>4</v>
      </c>
      <c r="N4" s="10">
        <v>2</v>
      </c>
      <c r="O4" s="10">
        <v>4</v>
      </c>
      <c r="P4" s="10">
        <v>2</v>
      </c>
      <c r="Q4" s="10">
        <v>4</v>
      </c>
      <c r="R4" s="10">
        <v>2</v>
      </c>
      <c r="S4" s="13">
        <v>46077</v>
      </c>
      <c r="T4" s="10" t="s">
        <v>25</v>
      </c>
      <c r="U4" s="10" t="s">
        <v>25</v>
      </c>
    </row>
    <row r="5" spans="1:21" x14ac:dyDescent="0.25">
      <c r="A5" s="1" t="s">
        <v>33</v>
      </c>
      <c r="B5" s="10">
        <v>965</v>
      </c>
      <c r="C5" s="10">
        <v>9240</v>
      </c>
      <c r="D5" s="32">
        <f t="shared" si="0"/>
        <v>60</v>
      </c>
      <c r="E5" s="10">
        <v>4</v>
      </c>
      <c r="F5" s="10">
        <v>4</v>
      </c>
      <c r="G5" s="10">
        <v>4</v>
      </c>
      <c r="H5" s="10">
        <v>4</v>
      </c>
      <c r="I5" s="10">
        <v>4</v>
      </c>
      <c r="J5" s="10">
        <v>4</v>
      </c>
      <c r="K5" s="10">
        <v>6</v>
      </c>
      <c r="L5" s="10">
        <v>3</v>
      </c>
      <c r="M5" s="10">
        <v>6</v>
      </c>
      <c r="N5" s="10">
        <v>3</v>
      </c>
      <c r="O5" s="10">
        <v>6</v>
      </c>
      <c r="P5" s="10">
        <v>3</v>
      </c>
      <c r="Q5" s="10">
        <v>6</v>
      </c>
      <c r="R5" s="10">
        <v>3</v>
      </c>
      <c r="S5" s="13">
        <v>46077</v>
      </c>
      <c r="T5" s="10" t="s">
        <v>53</v>
      </c>
      <c r="U5" s="10" t="s">
        <v>53</v>
      </c>
    </row>
    <row r="6" spans="1:21" x14ac:dyDescent="0.25">
      <c r="A6" s="1" t="s">
        <v>33</v>
      </c>
      <c r="B6" s="10">
        <v>966</v>
      </c>
      <c r="C6" s="10">
        <v>9232</v>
      </c>
      <c r="D6" s="32">
        <f t="shared" si="0"/>
        <v>60</v>
      </c>
      <c r="E6" s="10">
        <v>4</v>
      </c>
      <c r="F6" s="10">
        <v>4</v>
      </c>
      <c r="G6" s="10">
        <v>4</v>
      </c>
      <c r="H6" s="10">
        <v>4</v>
      </c>
      <c r="I6" s="10">
        <v>4</v>
      </c>
      <c r="J6" s="10">
        <v>4</v>
      </c>
      <c r="K6" s="10">
        <v>6</v>
      </c>
      <c r="L6" s="10">
        <v>3</v>
      </c>
      <c r="M6" s="10">
        <v>6</v>
      </c>
      <c r="N6" s="10">
        <v>3</v>
      </c>
      <c r="O6" s="10">
        <v>6</v>
      </c>
      <c r="P6" s="10">
        <v>3</v>
      </c>
      <c r="Q6" s="10">
        <v>6</v>
      </c>
      <c r="R6" s="10">
        <v>3</v>
      </c>
      <c r="S6" s="13">
        <v>46077</v>
      </c>
      <c r="T6" s="10"/>
      <c r="U6" s="10"/>
    </row>
    <row r="7" spans="1:21" x14ac:dyDescent="0.25">
      <c r="A7" s="1" t="s">
        <v>33</v>
      </c>
      <c r="B7" s="10">
        <v>967</v>
      </c>
      <c r="C7" s="10">
        <v>9260</v>
      </c>
      <c r="D7" s="32">
        <f t="shared" si="0"/>
        <v>60</v>
      </c>
      <c r="E7" s="10">
        <v>4</v>
      </c>
      <c r="F7" s="10">
        <v>4</v>
      </c>
      <c r="G7" s="10">
        <v>4</v>
      </c>
      <c r="H7" s="10">
        <v>4</v>
      </c>
      <c r="I7" s="10">
        <v>4</v>
      </c>
      <c r="J7" s="10">
        <v>4</v>
      </c>
      <c r="K7" s="10">
        <v>6</v>
      </c>
      <c r="L7" s="10">
        <v>3</v>
      </c>
      <c r="M7" s="10">
        <v>6</v>
      </c>
      <c r="N7" s="10">
        <v>3</v>
      </c>
      <c r="O7" s="10">
        <v>6</v>
      </c>
      <c r="P7" s="10">
        <v>3</v>
      </c>
      <c r="Q7" s="10">
        <v>6</v>
      </c>
      <c r="R7" s="10">
        <v>3</v>
      </c>
      <c r="S7" s="13">
        <v>46077</v>
      </c>
      <c r="T7" s="10" t="s">
        <v>25</v>
      </c>
      <c r="U7" s="10" t="s">
        <v>25</v>
      </c>
    </row>
    <row r="8" spans="1:21" x14ac:dyDescent="0.25">
      <c r="A8" s="1" t="s">
        <v>33</v>
      </c>
      <c r="B8" s="10">
        <v>968</v>
      </c>
      <c r="C8" s="10">
        <v>9237</v>
      </c>
      <c r="D8" s="32">
        <f t="shared" si="0"/>
        <v>60</v>
      </c>
      <c r="E8" s="10">
        <v>4</v>
      </c>
      <c r="F8" s="10">
        <v>4</v>
      </c>
      <c r="G8" s="10">
        <v>4</v>
      </c>
      <c r="H8" s="10">
        <v>4</v>
      </c>
      <c r="I8" s="10">
        <v>4</v>
      </c>
      <c r="J8" s="10">
        <v>4</v>
      </c>
      <c r="K8" s="10">
        <v>6</v>
      </c>
      <c r="L8" s="10">
        <v>3</v>
      </c>
      <c r="M8" s="10">
        <v>6</v>
      </c>
      <c r="N8" s="10">
        <v>3</v>
      </c>
      <c r="O8" s="10">
        <v>6</v>
      </c>
      <c r="P8" s="10">
        <v>3</v>
      </c>
      <c r="Q8" s="10">
        <v>6</v>
      </c>
      <c r="R8" s="10">
        <v>3</v>
      </c>
      <c r="S8" s="13">
        <v>46077</v>
      </c>
      <c r="T8" s="10"/>
      <c r="U8" s="10"/>
    </row>
    <row r="9" spans="1:21" x14ac:dyDescent="0.25">
      <c r="A9" s="1" t="s">
        <v>33</v>
      </c>
      <c r="B9" s="10">
        <v>969</v>
      </c>
      <c r="C9" s="10">
        <v>9243</v>
      </c>
      <c r="D9" s="32">
        <f t="shared" si="0"/>
        <v>60</v>
      </c>
      <c r="E9" s="10">
        <v>4</v>
      </c>
      <c r="F9" s="10">
        <v>4</v>
      </c>
      <c r="G9" s="10">
        <v>4</v>
      </c>
      <c r="H9" s="10">
        <v>4</v>
      </c>
      <c r="I9" s="10">
        <v>4</v>
      </c>
      <c r="J9" s="10">
        <v>4</v>
      </c>
      <c r="K9" s="10">
        <v>6</v>
      </c>
      <c r="L9" s="10">
        <v>3</v>
      </c>
      <c r="M9" s="10">
        <v>6</v>
      </c>
      <c r="N9" s="10">
        <v>3</v>
      </c>
      <c r="O9" s="10">
        <v>6</v>
      </c>
      <c r="P9" s="10">
        <v>3</v>
      </c>
      <c r="Q9" s="10">
        <v>6</v>
      </c>
      <c r="R9" s="10">
        <v>3</v>
      </c>
      <c r="S9" s="13">
        <v>46077</v>
      </c>
      <c r="T9" s="10" t="s">
        <v>53</v>
      </c>
      <c r="U9" s="10" t="s">
        <v>53</v>
      </c>
    </row>
    <row r="10" spans="1:21" x14ac:dyDescent="0.25">
      <c r="A10" s="1" t="s">
        <v>33</v>
      </c>
      <c r="B10" s="10">
        <v>970</v>
      </c>
      <c r="C10" s="10">
        <v>9264</v>
      </c>
      <c r="D10" s="32">
        <f t="shared" si="0"/>
        <v>60</v>
      </c>
      <c r="E10" s="10">
        <v>4</v>
      </c>
      <c r="F10" s="10">
        <v>4</v>
      </c>
      <c r="G10" s="10">
        <v>4</v>
      </c>
      <c r="H10" s="10">
        <v>4</v>
      </c>
      <c r="I10" s="10">
        <v>4</v>
      </c>
      <c r="J10" s="10">
        <v>4</v>
      </c>
      <c r="K10" s="10">
        <v>6</v>
      </c>
      <c r="L10" s="10">
        <v>3</v>
      </c>
      <c r="M10" s="10">
        <v>6</v>
      </c>
      <c r="N10" s="10">
        <v>3</v>
      </c>
      <c r="O10" s="10">
        <v>6</v>
      </c>
      <c r="P10" s="10">
        <v>3</v>
      </c>
      <c r="Q10" s="10">
        <v>6</v>
      </c>
      <c r="R10" s="10">
        <v>3</v>
      </c>
      <c r="S10" s="13">
        <v>46077</v>
      </c>
      <c r="T10" s="10"/>
      <c r="U10" s="10"/>
    </row>
    <row r="11" spans="1:21" x14ac:dyDescent="0.25">
      <c r="A11" s="1" t="s">
        <v>33</v>
      </c>
      <c r="B11" s="10">
        <v>971</v>
      </c>
      <c r="C11" s="10">
        <v>9201</v>
      </c>
      <c r="D11" s="32">
        <f t="shared" si="0"/>
        <v>60</v>
      </c>
      <c r="E11" s="10">
        <v>4</v>
      </c>
      <c r="F11" s="10">
        <v>4</v>
      </c>
      <c r="G11" s="10">
        <v>4</v>
      </c>
      <c r="H11" s="10">
        <v>4</v>
      </c>
      <c r="I11" s="10">
        <v>4</v>
      </c>
      <c r="J11" s="10">
        <v>4</v>
      </c>
      <c r="K11" s="10">
        <v>6</v>
      </c>
      <c r="L11" s="10">
        <v>3</v>
      </c>
      <c r="M11" s="10">
        <v>6</v>
      </c>
      <c r="N11" s="10">
        <v>3</v>
      </c>
      <c r="O11" s="10">
        <v>6</v>
      </c>
      <c r="P11" s="10">
        <v>3</v>
      </c>
      <c r="Q11" s="10">
        <v>6</v>
      </c>
      <c r="R11" s="10">
        <v>3</v>
      </c>
      <c r="S11" s="13">
        <v>46077</v>
      </c>
      <c r="T11" s="10" t="s">
        <v>53</v>
      </c>
      <c r="U11" s="10" t="s">
        <v>53</v>
      </c>
    </row>
    <row r="12" spans="1:21" x14ac:dyDescent="0.25">
      <c r="A12" s="1" t="s">
        <v>33</v>
      </c>
      <c r="B12" s="10">
        <v>972</v>
      </c>
      <c r="C12" s="10">
        <v>9210</v>
      </c>
      <c r="D12" s="32">
        <f t="shared" si="0"/>
        <v>60</v>
      </c>
      <c r="E12" s="10">
        <v>4</v>
      </c>
      <c r="F12" s="10">
        <v>4</v>
      </c>
      <c r="G12" s="10">
        <v>4</v>
      </c>
      <c r="H12" s="10">
        <v>4</v>
      </c>
      <c r="I12" s="10">
        <v>4</v>
      </c>
      <c r="J12" s="10">
        <v>4</v>
      </c>
      <c r="K12" s="10">
        <v>6</v>
      </c>
      <c r="L12" s="10">
        <v>3</v>
      </c>
      <c r="M12" s="10">
        <v>6</v>
      </c>
      <c r="N12" s="10">
        <v>3</v>
      </c>
      <c r="O12" s="10">
        <v>6</v>
      </c>
      <c r="P12" s="10">
        <v>3</v>
      </c>
      <c r="Q12" s="10">
        <v>6</v>
      </c>
      <c r="R12" s="10">
        <v>3</v>
      </c>
      <c r="S12" s="13">
        <v>46077</v>
      </c>
      <c r="T12" s="10"/>
      <c r="U12" s="10"/>
    </row>
    <row r="13" spans="1:21" x14ac:dyDescent="0.25">
      <c r="A13" s="1" t="s">
        <v>96</v>
      </c>
      <c r="B13" s="10">
        <v>973</v>
      </c>
      <c r="C13" s="10">
        <v>9203</v>
      </c>
      <c r="D13" s="32">
        <f t="shared" si="0"/>
        <v>48</v>
      </c>
      <c r="E13" s="10">
        <v>4</v>
      </c>
      <c r="F13" s="10">
        <v>2</v>
      </c>
      <c r="G13" s="10">
        <v>4</v>
      </c>
      <c r="H13" s="10">
        <v>2</v>
      </c>
      <c r="I13" s="10">
        <v>6</v>
      </c>
      <c r="J13" s="10">
        <v>6</v>
      </c>
      <c r="K13" s="10">
        <v>3</v>
      </c>
      <c r="L13" s="10">
        <v>2</v>
      </c>
      <c r="M13" s="10">
        <v>3</v>
      </c>
      <c r="N13" s="10">
        <v>2</v>
      </c>
      <c r="O13" s="10">
        <v>3</v>
      </c>
      <c r="P13" s="10">
        <v>2</v>
      </c>
      <c r="Q13" s="10">
        <v>5</v>
      </c>
      <c r="R13" s="10">
        <v>4</v>
      </c>
      <c r="S13" s="13">
        <v>46078</v>
      </c>
      <c r="T13" s="10" t="s">
        <v>53</v>
      </c>
      <c r="U13" s="10" t="s">
        <v>53</v>
      </c>
    </row>
    <row r="14" spans="1:21" x14ac:dyDescent="0.25">
      <c r="A14" s="1" t="s">
        <v>101</v>
      </c>
      <c r="B14" s="10">
        <v>974</v>
      </c>
      <c r="C14" s="10">
        <v>9226</v>
      </c>
      <c r="D14" s="32">
        <f t="shared" si="0"/>
        <v>24</v>
      </c>
      <c r="E14" s="10">
        <v>2</v>
      </c>
      <c r="F14" s="10">
        <v>2</v>
      </c>
      <c r="G14" s="10">
        <v>2</v>
      </c>
      <c r="H14" s="10">
        <v>2</v>
      </c>
      <c r="I14" s="10">
        <v>2</v>
      </c>
      <c r="J14" s="10">
        <v>2</v>
      </c>
      <c r="K14" s="10">
        <v>2</v>
      </c>
      <c r="L14" s="10">
        <v>1</v>
      </c>
      <c r="M14" s="10">
        <v>2</v>
      </c>
      <c r="N14" s="10">
        <v>1</v>
      </c>
      <c r="O14" s="10">
        <v>2</v>
      </c>
      <c r="P14" s="10">
        <v>1</v>
      </c>
      <c r="Q14" s="10">
        <v>2</v>
      </c>
      <c r="R14" s="10">
        <v>1</v>
      </c>
      <c r="S14" s="13">
        <v>46079</v>
      </c>
      <c r="T14" s="10"/>
      <c r="U14" s="10"/>
    </row>
    <row r="15" spans="1:21" x14ac:dyDescent="0.25">
      <c r="A15" s="1" t="s">
        <v>101</v>
      </c>
      <c r="B15" s="10">
        <v>975</v>
      </c>
      <c r="C15" s="10">
        <v>9213</v>
      </c>
      <c r="D15" s="32">
        <f t="shared" si="0"/>
        <v>24</v>
      </c>
      <c r="E15" s="10">
        <v>2</v>
      </c>
      <c r="F15" s="10">
        <v>2</v>
      </c>
      <c r="G15" s="10">
        <v>2</v>
      </c>
      <c r="H15" s="10">
        <v>2</v>
      </c>
      <c r="I15" s="10">
        <v>2</v>
      </c>
      <c r="J15" s="10">
        <v>2</v>
      </c>
      <c r="K15" s="10">
        <v>2</v>
      </c>
      <c r="L15" s="10">
        <v>1</v>
      </c>
      <c r="M15" s="10">
        <v>2</v>
      </c>
      <c r="N15" s="10">
        <v>1</v>
      </c>
      <c r="O15" s="10">
        <v>2</v>
      </c>
      <c r="P15" s="10">
        <v>1</v>
      </c>
      <c r="Q15" s="10">
        <v>2</v>
      </c>
      <c r="R15" s="10">
        <v>1</v>
      </c>
      <c r="S15" s="13">
        <v>46079</v>
      </c>
      <c r="T15" s="10" t="s">
        <v>53</v>
      </c>
      <c r="U15" s="10" t="s">
        <v>53</v>
      </c>
    </row>
    <row r="16" spans="1:21" x14ac:dyDescent="0.25">
      <c r="A16" s="1" t="s">
        <v>45</v>
      </c>
      <c r="B16" s="10">
        <v>976</v>
      </c>
      <c r="C16" s="10">
        <v>9266</v>
      </c>
      <c r="D16" s="32">
        <f t="shared" si="0"/>
        <v>60</v>
      </c>
      <c r="E16" s="10">
        <v>4</v>
      </c>
      <c r="F16" s="10">
        <v>4</v>
      </c>
      <c r="G16" s="10">
        <v>4</v>
      </c>
      <c r="H16" s="10">
        <v>4</v>
      </c>
      <c r="I16" s="10">
        <v>4</v>
      </c>
      <c r="J16" s="10">
        <v>4</v>
      </c>
      <c r="K16" s="10">
        <v>6</v>
      </c>
      <c r="L16" s="10">
        <v>3</v>
      </c>
      <c r="M16" s="10">
        <v>6</v>
      </c>
      <c r="N16" s="10">
        <v>3</v>
      </c>
      <c r="O16" s="10">
        <v>6</v>
      </c>
      <c r="P16" s="10">
        <v>3</v>
      </c>
      <c r="Q16" s="10">
        <v>6</v>
      </c>
      <c r="R16" s="10">
        <v>3</v>
      </c>
      <c r="S16" s="13">
        <v>46079</v>
      </c>
      <c r="T16" s="10"/>
      <c r="U16" s="10"/>
    </row>
    <row r="17" spans="1:21" x14ac:dyDescent="0.25">
      <c r="A17" s="1" t="s">
        <v>45</v>
      </c>
      <c r="B17" s="10">
        <v>977</v>
      </c>
      <c r="C17" s="10">
        <v>9266</v>
      </c>
      <c r="D17" s="32">
        <f t="shared" si="0"/>
        <v>60</v>
      </c>
      <c r="E17" s="10">
        <v>4</v>
      </c>
      <c r="F17" s="10">
        <v>4</v>
      </c>
      <c r="G17" s="10">
        <v>4</v>
      </c>
      <c r="H17" s="10">
        <v>4</v>
      </c>
      <c r="I17" s="10">
        <v>4</v>
      </c>
      <c r="J17" s="10">
        <v>4</v>
      </c>
      <c r="K17" s="10">
        <v>6</v>
      </c>
      <c r="L17" s="10">
        <v>3</v>
      </c>
      <c r="M17" s="10">
        <v>6</v>
      </c>
      <c r="N17" s="10">
        <v>3</v>
      </c>
      <c r="O17" s="10">
        <v>6</v>
      </c>
      <c r="P17" s="10">
        <v>3</v>
      </c>
      <c r="Q17" s="10">
        <v>6</v>
      </c>
      <c r="R17" s="10">
        <v>3</v>
      </c>
      <c r="S17" s="13">
        <v>46079</v>
      </c>
      <c r="T17" s="10"/>
      <c r="U17" s="10"/>
    </row>
    <row r="18" spans="1:21" x14ac:dyDescent="0.25">
      <c r="B18" s="16"/>
      <c r="C18" s="16"/>
      <c r="D18" s="26">
        <f>SUM(D3:D17)</f>
        <v>804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2:21" x14ac:dyDescent="0.25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2:21" x14ac:dyDescent="0.25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2:21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2:21" x14ac:dyDescent="0.2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2:21" x14ac:dyDescent="0.2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2:21" x14ac:dyDescent="0.25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2:21" x14ac:dyDescent="0.25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2:21" x14ac:dyDescent="0.25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2:2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2:21" x14ac:dyDescent="0.25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2:21" x14ac:dyDescent="0.25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2:21" x14ac:dyDescent="0.25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2:21" x14ac:dyDescent="0.25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2:21" x14ac:dyDescent="0.25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2:21" x14ac:dyDescent="0.25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2:21" x14ac:dyDescent="0.25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2:21" x14ac:dyDescent="0.25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2:21" x14ac:dyDescent="0.25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2:21" x14ac:dyDescent="0.25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2:21" x14ac:dyDescent="0.25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2:21" x14ac:dyDescent="0.25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2:21" x14ac:dyDescent="0.25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2:21" x14ac:dyDescent="0.25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2:21" x14ac:dyDescent="0.25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2:21" x14ac:dyDescent="0.25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2:21" x14ac:dyDescent="0.25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2:21" x14ac:dyDescent="0.25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2:21" x14ac:dyDescent="0.25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2:21" x14ac:dyDescent="0.25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2:21" x14ac:dyDescent="0.25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2:21" x14ac:dyDescent="0.25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2:21" x14ac:dyDescent="0.25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2:21" x14ac:dyDescent="0.2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2:21" x14ac:dyDescent="0.25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2:21" x14ac:dyDescent="0.25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2:21" x14ac:dyDescent="0.25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2:21" x14ac:dyDescent="0.25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2:2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2:21" x14ac:dyDescent="0.25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2:2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2:21" x14ac:dyDescent="0.25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2:21" x14ac:dyDescent="0.25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</sheetData>
  <mergeCells count="4">
    <mergeCell ref="A1:D1"/>
    <mergeCell ref="E1:R1"/>
    <mergeCell ref="S1:S2"/>
    <mergeCell ref="T1:U1"/>
  </mergeCells>
  <pageMargins left="0.7" right="0.7" top="0.75" bottom="0.75" header="0.3" footer="0.3"/>
  <ignoredErrors>
    <ignoredError sqref="D3:D16 D17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44"/>
  <sheetViews>
    <sheetView topLeftCell="A19" workbookViewId="0">
      <selection activeCell="T11" sqref="T11"/>
    </sheetView>
  </sheetViews>
  <sheetFormatPr defaultColWidth="11.42578125" defaultRowHeight="15" x14ac:dyDescent="0.25"/>
  <cols>
    <col min="1" max="1" width="21.28515625" customWidth="1"/>
    <col min="4" max="4" width="9.42578125" customWidth="1"/>
    <col min="5" max="5" width="4.28515625" customWidth="1"/>
    <col min="6" max="6" width="4.85546875" customWidth="1"/>
    <col min="7" max="7" width="4.140625" customWidth="1"/>
    <col min="8" max="8" width="5.140625" customWidth="1"/>
    <col min="9" max="9" width="4" customWidth="1"/>
    <col min="10" max="10" width="5.42578125" customWidth="1"/>
    <col min="11" max="11" width="4" customWidth="1"/>
    <col min="12" max="12" width="5.140625" customWidth="1"/>
    <col min="13" max="13" width="4.28515625" customWidth="1"/>
    <col min="14" max="14" width="5.5703125" customWidth="1"/>
    <col min="15" max="15" width="4.7109375" customWidth="1"/>
    <col min="16" max="16" width="5.5703125" customWidth="1"/>
    <col min="17" max="17" width="5" customWidth="1"/>
    <col min="18" max="18" width="5.7109375" customWidth="1"/>
    <col min="19" max="19" width="17.85546875" customWidth="1"/>
    <col min="20" max="21" width="13.28515625" customWidth="1"/>
  </cols>
  <sheetData>
    <row r="1" spans="1:21" ht="18.75" x14ac:dyDescent="0.25">
      <c r="A1" s="63" t="s">
        <v>102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66"/>
      <c r="T2" s="22" t="s">
        <v>9</v>
      </c>
      <c r="U2" s="22" t="s">
        <v>10</v>
      </c>
    </row>
    <row r="3" spans="1:21" x14ac:dyDescent="0.25">
      <c r="A3" s="1" t="s">
        <v>103</v>
      </c>
      <c r="B3" s="10">
        <v>980</v>
      </c>
      <c r="C3" s="26">
        <v>9231</v>
      </c>
      <c r="D3" s="26">
        <f>SUM(E3:R3)</f>
        <v>24</v>
      </c>
      <c r="E3" s="10">
        <v>2</v>
      </c>
      <c r="F3" s="10">
        <v>2</v>
      </c>
      <c r="G3" s="10">
        <v>2</v>
      </c>
      <c r="H3" s="10">
        <v>2</v>
      </c>
      <c r="I3" s="10">
        <v>2</v>
      </c>
      <c r="J3" s="10">
        <v>2</v>
      </c>
      <c r="K3" s="10">
        <v>2</v>
      </c>
      <c r="L3" s="10">
        <v>1</v>
      </c>
      <c r="M3" s="10">
        <v>2</v>
      </c>
      <c r="N3" s="10">
        <v>1</v>
      </c>
      <c r="O3" s="10">
        <v>2</v>
      </c>
      <c r="P3" s="10">
        <v>1</v>
      </c>
      <c r="Q3" s="10">
        <v>2</v>
      </c>
      <c r="R3" s="10">
        <v>1</v>
      </c>
      <c r="S3" s="13">
        <v>46084</v>
      </c>
      <c r="T3" s="10" t="s">
        <v>25</v>
      </c>
      <c r="U3" s="10"/>
    </row>
    <row r="4" spans="1:21" x14ac:dyDescent="0.25">
      <c r="A4" s="1" t="s">
        <v>103</v>
      </c>
      <c r="B4" s="10">
        <v>981</v>
      </c>
      <c r="C4" s="26">
        <v>9245</v>
      </c>
      <c r="D4" s="26">
        <f t="shared" ref="D4:D34" si="0">SUM(E4:R4)</f>
        <v>24</v>
      </c>
      <c r="E4" s="10">
        <v>2</v>
      </c>
      <c r="F4" s="10">
        <v>2</v>
      </c>
      <c r="G4" s="10">
        <v>2</v>
      </c>
      <c r="H4" s="10">
        <v>2</v>
      </c>
      <c r="I4" s="10">
        <v>2</v>
      </c>
      <c r="J4" s="10">
        <v>2</v>
      </c>
      <c r="K4" s="10">
        <v>2</v>
      </c>
      <c r="L4" s="10">
        <v>1</v>
      </c>
      <c r="M4" s="10">
        <v>2</v>
      </c>
      <c r="N4" s="10">
        <v>1</v>
      </c>
      <c r="O4" s="10">
        <v>2</v>
      </c>
      <c r="P4" s="10">
        <v>1</v>
      </c>
      <c r="Q4" s="10">
        <v>2</v>
      </c>
      <c r="R4" s="10">
        <v>1</v>
      </c>
      <c r="S4" s="13">
        <v>46084</v>
      </c>
      <c r="T4" s="10" t="s">
        <v>53</v>
      </c>
      <c r="U4" s="10" t="s">
        <v>53</v>
      </c>
    </row>
    <row r="5" spans="1:21" x14ac:dyDescent="0.25">
      <c r="A5" s="1" t="s">
        <v>103</v>
      </c>
      <c r="B5" s="10">
        <v>982</v>
      </c>
      <c r="C5" s="26">
        <v>9260</v>
      </c>
      <c r="D5" s="26">
        <f t="shared" si="0"/>
        <v>12</v>
      </c>
      <c r="E5" s="10"/>
      <c r="F5" s="10"/>
      <c r="G5" s="10"/>
      <c r="H5" s="10"/>
      <c r="I5" s="10"/>
      <c r="J5" s="10"/>
      <c r="K5" s="10">
        <v>1</v>
      </c>
      <c r="L5" s="10">
        <v>1</v>
      </c>
      <c r="M5" s="10">
        <v>1</v>
      </c>
      <c r="N5" s="10">
        <v>1</v>
      </c>
      <c r="O5" s="10">
        <v>3</v>
      </c>
      <c r="P5" s="10">
        <v>3</v>
      </c>
      <c r="Q5" s="10">
        <v>1</v>
      </c>
      <c r="R5" s="10">
        <v>1</v>
      </c>
      <c r="S5" s="13">
        <v>46084</v>
      </c>
      <c r="T5" s="10" t="s">
        <v>25</v>
      </c>
      <c r="U5" s="10"/>
    </row>
    <row r="6" spans="1:21" x14ac:dyDescent="0.25">
      <c r="A6" s="1" t="s">
        <v>103</v>
      </c>
      <c r="B6" s="10">
        <v>983</v>
      </c>
      <c r="C6" s="26">
        <v>9264</v>
      </c>
      <c r="D6" s="26">
        <f t="shared" si="0"/>
        <v>12</v>
      </c>
      <c r="E6" s="10"/>
      <c r="F6" s="10"/>
      <c r="G6" s="10"/>
      <c r="H6" s="10"/>
      <c r="I6" s="10"/>
      <c r="J6" s="10"/>
      <c r="K6" s="10">
        <v>1</v>
      </c>
      <c r="L6" s="10">
        <v>1</v>
      </c>
      <c r="M6" s="10">
        <v>1</v>
      </c>
      <c r="N6" s="10">
        <v>1</v>
      </c>
      <c r="O6" s="10">
        <v>3</v>
      </c>
      <c r="P6" s="10">
        <v>3</v>
      </c>
      <c r="Q6" s="10">
        <v>1</v>
      </c>
      <c r="R6" s="10">
        <v>1</v>
      </c>
      <c r="S6" s="13">
        <v>46084</v>
      </c>
      <c r="T6" s="10" t="s">
        <v>25</v>
      </c>
      <c r="U6" s="10"/>
    </row>
    <row r="7" spans="1:21" x14ac:dyDescent="0.25">
      <c r="A7" s="1" t="s">
        <v>103</v>
      </c>
      <c r="B7" s="10">
        <v>984</v>
      </c>
      <c r="C7" s="26">
        <v>9240</v>
      </c>
      <c r="D7" s="26">
        <f t="shared" si="0"/>
        <v>12</v>
      </c>
      <c r="E7" s="10"/>
      <c r="F7" s="10"/>
      <c r="G7" s="10"/>
      <c r="H7" s="10"/>
      <c r="I7" s="10"/>
      <c r="J7" s="10"/>
      <c r="K7" s="10">
        <v>1</v>
      </c>
      <c r="L7" s="10">
        <v>1</v>
      </c>
      <c r="M7" s="10">
        <v>1</v>
      </c>
      <c r="N7" s="10">
        <v>1</v>
      </c>
      <c r="O7" s="10">
        <v>3</v>
      </c>
      <c r="P7" s="10">
        <v>3</v>
      </c>
      <c r="Q7" s="10">
        <v>1</v>
      </c>
      <c r="R7" s="10">
        <v>1</v>
      </c>
      <c r="S7" s="13">
        <v>46084</v>
      </c>
      <c r="T7" s="10" t="s">
        <v>53</v>
      </c>
      <c r="U7" s="10" t="s">
        <v>53</v>
      </c>
    </row>
    <row r="8" spans="1:21" x14ac:dyDescent="0.25">
      <c r="A8" s="1" t="s">
        <v>103</v>
      </c>
      <c r="B8" s="10">
        <v>985</v>
      </c>
      <c r="C8" s="26">
        <v>9263</v>
      </c>
      <c r="D8" s="26">
        <f t="shared" si="0"/>
        <v>12</v>
      </c>
      <c r="E8" s="10"/>
      <c r="F8" s="10"/>
      <c r="G8" s="10"/>
      <c r="H8" s="10"/>
      <c r="I8" s="10"/>
      <c r="J8" s="10"/>
      <c r="K8" s="10">
        <v>1</v>
      </c>
      <c r="L8" s="10">
        <v>1</v>
      </c>
      <c r="M8" s="10">
        <v>1</v>
      </c>
      <c r="N8" s="10">
        <v>1</v>
      </c>
      <c r="O8" s="10">
        <v>3</v>
      </c>
      <c r="P8" s="10">
        <v>3</v>
      </c>
      <c r="Q8" s="10">
        <v>1</v>
      </c>
      <c r="R8" s="10">
        <v>1</v>
      </c>
      <c r="S8" s="13">
        <v>46084</v>
      </c>
      <c r="T8" s="10" t="s">
        <v>25</v>
      </c>
      <c r="U8" s="10"/>
    </row>
    <row r="9" spans="1:21" x14ac:dyDescent="0.25">
      <c r="A9" s="1" t="s">
        <v>103</v>
      </c>
      <c r="B9" s="10">
        <v>986</v>
      </c>
      <c r="C9" s="26">
        <v>9243</v>
      </c>
      <c r="D9" s="26">
        <f t="shared" si="0"/>
        <v>12</v>
      </c>
      <c r="E9" s="10"/>
      <c r="F9" s="10"/>
      <c r="G9" s="10"/>
      <c r="H9" s="10"/>
      <c r="I9" s="10"/>
      <c r="J9" s="10"/>
      <c r="K9" s="10">
        <v>1</v>
      </c>
      <c r="L9" s="10">
        <v>1</v>
      </c>
      <c r="M9" s="10">
        <v>1</v>
      </c>
      <c r="N9" s="10">
        <v>1</v>
      </c>
      <c r="O9" s="10">
        <v>3</v>
      </c>
      <c r="P9" s="10">
        <v>3</v>
      </c>
      <c r="Q9" s="10">
        <v>1</v>
      </c>
      <c r="R9" s="10">
        <v>1</v>
      </c>
      <c r="S9" s="13">
        <v>46084</v>
      </c>
      <c r="T9" s="10" t="s">
        <v>53</v>
      </c>
      <c r="U9" s="10" t="s">
        <v>53</v>
      </c>
    </row>
    <row r="10" spans="1:21" x14ac:dyDescent="0.25">
      <c r="A10" s="1" t="s">
        <v>104</v>
      </c>
      <c r="B10" s="10">
        <v>987</v>
      </c>
      <c r="C10" s="26">
        <v>9260</v>
      </c>
      <c r="D10" s="26">
        <f t="shared" si="0"/>
        <v>14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1</v>
      </c>
      <c r="S10" s="13">
        <v>46084</v>
      </c>
      <c r="T10" s="10" t="s">
        <v>25</v>
      </c>
      <c r="U10" s="10"/>
    </row>
    <row r="11" spans="1:21" x14ac:dyDescent="0.25">
      <c r="A11" s="1" t="s">
        <v>104</v>
      </c>
      <c r="B11" s="10">
        <v>988</v>
      </c>
      <c r="C11" s="26">
        <v>9232</v>
      </c>
      <c r="D11" s="26">
        <f t="shared" si="0"/>
        <v>14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3">
        <v>46084</v>
      </c>
      <c r="T11" s="10" t="s">
        <v>25</v>
      </c>
      <c r="U11" s="10"/>
    </row>
    <row r="12" spans="1:21" x14ac:dyDescent="0.25">
      <c r="A12" s="1" t="s">
        <v>104</v>
      </c>
      <c r="B12" s="10">
        <v>989</v>
      </c>
      <c r="C12" s="26">
        <v>9243</v>
      </c>
      <c r="D12" s="26">
        <f t="shared" si="0"/>
        <v>14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1</v>
      </c>
      <c r="S12" s="13">
        <v>46084</v>
      </c>
      <c r="T12" s="10" t="s">
        <v>53</v>
      </c>
      <c r="U12" s="10" t="s">
        <v>53</v>
      </c>
    </row>
    <row r="13" spans="1:21" x14ac:dyDescent="0.25">
      <c r="A13" s="1" t="s">
        <v>104</v>
      </c>
      <c r="B13" s="10">
        <v>990</v>
      </c>
      <c r="C13" s="26">
        <v>9264</v>
      </c>
      <c r="D13" s="26">
        <f t="shared" si="0"/>
        <v>14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3">
        <v>46084</v>
      </c>
      <c r="T13" s="10" t="s">
        <v>53</v>
      </c>
      <c r="U13" s="10" t="s">
        <v>53</v>
      </c>
    </row>
    <row r="14" spans="1:21" x14ac:dyDescent="0.25">
      <c r="A14" s="1" t="s">
        <v>104</v>
      </c>
      <c r="B14" s="10">
        <v>991</v>
      </c>
      <c r="C14" s="26">
        <v>9205</v>
      </c>
      <c r="D14" s="26">
        <f t="shared" si="0"/>
        <v>14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>
        <v>1</v>
      </c>
      <c r="S14" s="13">
        <v>46084</v>
      </c>
      <c r="T14" s="10"/>
      <c r="U14" s="10"/>
    </row>
    <row r="15" spans="1:21" x14ac:dyDescent="0.25">
      <c r="A15" s="1" t="s">
        <v>104</v>
      </c>
      <c r="B15" s="10">
        <v>992</v>
      </c>
      <c r="C15" s="26">
        <v>9245</v>
      </c>
      <c r="D15" s="26">
        <f t="shared" si="0"/>
        <v>14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1</v>
      </c>
      <c r="S15" s="13">
        <v>46084</v>
      </c>
      <c r="T15" s="10" t="s">
        <v>53</v>
      </c>
      <c r="U15" s="10"/>
    </row>
    <row r="16" spans="1:21" x14ac:dyDescent="0.25">
      <c r="A16" s="1" t="s">
        <v>104</v>
      </c>
      <c r="B16" s="10">
        <v>993</v>
      </c>
      <c r="C16" s="26">
        <v>9231</v>
      </c>
      <c r="D16" s="26">
        <f t="shared" si="0"/>
        <v>14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3">
        <v>46084</v>
      </c>
      <c r="T16" s="10"/>
      <c r="U16" s="10"/>
    </row>
    <row r="17" spans="1:21" x14ac:dyDescent="0.25">
      <c r="A17" s="1" t="s">
        <v>105</v>
      </c>
      <c r="B17" s="10">
        <v>994</v>
      </c>
      <c r="C17" s="26">
        <v>9260</v>
      </c>
      <c r="D17" s="26">
        <f t="shared" si="0"/>
        <v>14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3">
        <v>46084</v>
      </c>
      <c r="T17" s="10" t="s">
        <v>25</v>
      </c>
      <c r="U17" s="10" t="s">
        <v>25</v>
      </c>
    </row>
    <row r="18" spans="1:21" x14ac:dyDescent="0.25">
      <c r="A18" s="1" t="s">
        <v>105</v>
      </c>
      <c r="B18" s="10">
        <v>995</v>
      </c>
      <c r="C18" s="26">
        <v>9237</v>
      </c>
      <c r="D18" s="26">
        <f t="shared" si="0"/>
        <v>14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1</v>
      </c>
      <c r="K18" s="10">
        <v>1</v>
      </c>
      <c r="L18" s="10">
        <v>1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1</v>
      </c>
      <c r="S18" s="13">
        <v>46084</v>
      </c>
      <c r="T18" s="10" t="s">
        <v>25</v>
      </c>
      <c r="U18" s="10" t="s">
        <v>25</v>
      </c>
    </row>
    <row r="19" spans="1:21" x14ac:dyDescent="0.25">
      <c r="A19" s="1" t="s">
        <v>105</v>
      </c>
      <c r="B19" s="10">
        <v>996</v>
      </c>
      <c r="C19" s="26">
        <v>9257</v>
      </c>
      <c r="D19" s="26">
        <f t="shared" si="0"/>
        <v>8</v>
      </c>
      <c r="E19" s="1"/>
      <c r="F19" s="1"/>
      <c r="G19" s="1"/>
      <c r="H19" s="1"/>
      <c r="I19" s="1"/>
      <c r="J19" s="1"/>
      <c r="K19" s="10">
        <v>1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1</v>
      </c>
      <c r="S19" s="13">
        <v>46084</v>
      </c>
      <c r="T19" s="10" t="s">
        <v>25</v>
      </c>
      <c r="U19" s="10" t="s">
        <v>25</v>
      </c>
    </row>
    <row r="20" spans="1:21" x14ac:dyDescent="0.25">
      <c r="A20" s="1" t="s">
        <v>105</v>
      </c>
      <c r="B20" s="10">
        <v>997</v>
      </c>
      <c r="C20" s="26">
        <v>9248</v>
      </c>
      <c r="D20" s="26">
        <f t="shared" si="0"/>
        <v>8</v>
      </c>
      <c r="E20" s="1"/>
      <c r="F20" s="1"/>
      <c r="G20" s="1"/>
      <c r="H20" s="1"/>
      <c r="I20" s="1"/>
      <c r="J20" s="1"/>
      <c r="K20" s="10">
        <v>1</v>
      </c>
      <c r="L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1</v>
      </c>
      <c r="S20" s="13">
        <v>46084</v>
      </c>
      <c r="T20" s="10" t="s">
        <v>25</v>
      </c>
      <c r="U20" s="10" t="s">
        <v>25</v>
      </c>
    </row>
    <row r="21" spans="1:21" x14ac:dyDescent="0.25">
      <c r="A21" s="1" t="s">
        <v>106</v>
      </c>
      <c r="B21" s="10">
        <v>998</v>
      </c>
      <c r="C21" s="26">
        <v>9262</v>
      </c>
      <c r="D21" s="26">
        <f t="shared" si="0"/>
        <v>14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3">
        <v>46084</v>
      </c>
      <c r="T21" s="10" t="s">
        <v>25</v>
      </c>
      <c r="U21" s="10" t="s">
        <v>25</v>
      </c>
    </row>
    <row r="22" spans="1:21" x14ac:dyDescent="0.25">
      <c r="A22" s="1" t="s">
        <v>106</v>
      </c>
      <c r="B22" s="10">
        <v>999</v>
      </c>
      <c r="C22" s="26">
        <v>9246</v>
      </c>
      <c r="D22" s="26">
        <f t="shared" si="0"/>
        <v>14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3">
        <v>46084</v>
      </c>
      <c r="T22" s="10" t="s">
        <v>25</v>
      </c>
      <c r="U22" s="10" t="s">
        <v>25</v>
      </c>
    </row>
    <row r="23" spans="1:21" x14ac:dyDescent="0.25">
      <c r="A23" s="1" t="s">
        <v>107</v>
      </c>
      <c r="B23" s="10">
        <v>1000</v>
      </c>
      <c r="C23" s="26">
        <v>9213</v>
      </c>
      <c r="D23" s="26">
        <f t="shared" si="0"/>
        <v>14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3">
        <v>46084</v>
      </c>
      <c r="T23" s="10" t="s">
        <v>25</v>
      </c>
      <c r="U23" s="10" t="s">
        <v>25</v>
      </c>
    </row>
    <row r="24" spans="1:21" x14ac:dyDescent="0.25">
      <c r="A24" s="1" t="s">
        <v>107</v>
      </c>
      <c r="B24" s="30" t="s">
        <v>108</v>
      </c>
      <c r="C24" s="10">
        <v>9228</v>
      </c>
      <c r="D24" s="26">
        <f t="shared" si="0"/>
        <v>14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3">
        <v>46084</v>
      </c>
      <c r="T24" s="10"/>
      <c r="U24" s="10"/>
    </row>
    <row r="25" spans="1:21" x14ac:dyDescent="0.25">
      <c r="A25" s="1" t="s">
        <v>60</v>
      </c>
      <c r="B25" s="30" t="s">
        <v>109</v>
      </c>
      <c r="C25" s="10">
        <v>9201</v>
      </c>
      <c r="D25" s="10">
        <f t="shared" si="0"/>
        <v>40</v>
      </c>
      <c r="E25" s="10">
        <v>2</v>
      </c>
      <c r="F25" s="10">
        <v>2</v>
      </c>
      <c r="G25" s="10">
        <v>3</v>
      </c>
      <c r="H25" s="10">
        <v>3</v>
      </c>
      <c r="I25" s="10">
        <v>4</v>
      </c>
      <c r="J25" s="10">
        <v>4</v>
      </c>
      <c r="K25" s="10">
        <v>3</v>
      </c>
      <c r="L25" s="10">
        <v>3</v>
      </c>
      <c r="M25" s="10">
        <v>3</v>
      </c>
      <c r="N25" s="10">
        <v>2</v>
      </c>
      <c r="O25" s="10">
        <v>2</v>
      </c>
      <c r="P25" s="10">
        <v>3</v>
      </c>
      <c r="Q25" s="10">
        <v>3</v>
      </c>
      <c r="R25" s="10">
        <v>3</v>
      </c>
      <c r="S25" s="13">
        <v>46084</v>
      </c>
      <c r="T25" s="10"/>
      <c r="U25" s="10"/>
    </row>
    <row r="26" spans="1:21" x14ac:dyDescent="0.25">
      <c r="A26" s="1" t="s">
        <v>89</v>
      </c>
      <c r="B26" s="30" t="s">
        <v>110</v>
      </c>
      <c r="C26" s="10">
        <v>9210</v>
      </c>
      <c r="D26" s="10">
        <f t="shared" si="0"/>
        <v>60</v>
      </c>
      <c r="E26" s="10">
        <v>5</v>
      </c>
      <c r="F26" s="10">
        <v>5</v>
      </c>
      <c r="G26" s="10">
        <v>7</v>
      </c>
      <c r="H26" s="10">
        <v>6</v>
      </c>
      <c r="I26" s="10">
        <v>4</v>
      </c>
      <c r="J26" s="10">
        <v>5</v>
      </c>
      <c r="K26" s="10">
        <v>5</v>
      </c>
      <c r="L26" s="10">
        <v>3</v>
      </c>
      <c r="M26" s="10">
        <v>4</v>
      </c>
      <c r="N26" s="10">
        <v>2</v>
      </c>
      <c r="O26" s="10">
        <v>5</v>
      </c>
      <c r="P26" s="10">
        <v>2</v>
      </c>
      <c r="Q26" s="10">
        <v>5</v>
      </c>
      <c r="R26" s="10">
        <v>2</v>
      </c>
      <c r="S26" s="13">
        <v>46057</v>
      </c>
      <c r="T26" s="10" t="s">
        <v>59</v>
      </c>
      <c r="U26" s="10" t="s">
        <v>59</v>
      </c>
    </row>
    <row r="27" spans="1:21" x14ac:dyDescent="0.25">
      <c r="A27" s="1" t="s">
        <v>119</v>
      </c>
      <c r="B27" s="30" t="s">
        <v>111</v>
      </c>
      <c r="C27" s="10">
        <v>9225</v>
      </c>
      <c r="D27" s="10">
        <f t="shared" si="0"/>
        <v>14</v>
      </c>
      <c r="E27" s="10">
        <v>1</v>
      </c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1</v>
      </c>
      <c r="S27" s="13">
        <v>46085</v>
      </c>
      <c r="T27" s="10"/>
      <c r="U27" s="10"/>
    </row>
    <row r="28" spans="1:21" x14ac:dyDescent="0.25">
      <c r="A28" s="1" t="s">
        <v>119</v>
      </c>
      <c r="B28" s="30" t="s">
        <v>112</v>
      </c>
      <c r="C28" s="10">
        <v>9004</v>
      </c>
      <c r="D28" s="10">
        <f t="shared" si="0"/>
        <v>14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  <c r="J28" s="10">
        <v>1</v>
      </c>
      <c r="K28" s="10">
        <v>1</v>
      </c>
      <c r="L28" s="10">
        <v>1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1</v>
      </c>
      <c r="S28" s="13">
        <v>46116</v>
      </c>
      <c r="T28" s="10"/>
      <c r="U28" s="10"/>
    </row>
    <row r="29" spans="1:21" x14ac:dyDescent="0.25">
      <c r="A29" s="1" t="s">
        <v>119</v>
      </c>
      <c r="B29" s="30" t="s">
        <v>113</v>
      </c>
      <c r="C29" s="10">
        <v>9209</v>
      </c>
      <c r="D29" s="10">
        <f t="shared" si="0"/>
        <v>14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1</v>
      </c>
      <c r="R29" s="10">
        <v>1</v>
      </c>
      <c r="S29" s="13">
        <v>46146</v>
      </c>
      <c r="T29" s="10" t="s">
        <v>25</v>
      </c>
      <c r="U29" s="10"/>
    </row>
    <row r="30" spans="1:21" x14ac:dyDescent="0.25">
      <c r="A30" s="1" t="s">
        <v>119</v>
      </c>
      <c r="B30" s="30" t="s">
        <v>114</v>
      </c>
      <c r="C30" s="10">
        <v>9213</v>
      </c>
      <c r="D30" s="10">
        <f t="shared" si="0"/>
        <v>14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3">
        <v>46177</v>
      </c>
      <c r="T30" s="10" t="s">
        <v>53</v>
      </c>
      <c r="U30" s="10" t="s">
        <v>53</v>
      </c>
    </row>
    <row r="31" spans="1:21" x14ac:dyDescent="0.25">
      <c r="A31" s="1" t="s">
        <v>119</v>
      </c>
      <c r="B31" s="30" t="s">
        <v>115</v>
      </c>
      <c r="C31" s="10">
        <v>9204</v>
      </c>
      <c r="D31" s="10">
        <f t="shared" si="0"/>
        <v>14</v>
      </c>
      <c r="E31" s="10">
        <v>1</v>
      </c>
      <c r="F31" s="10">
        <v>1</v>
      </c>
      <c r="G31" s="10">
        <v>1</v>
      </c>
      <c r="H31" s="10">
        <v>1</v>
      </c>
      <c r="I31" s="10">
        <v>1</v>
      </c>
      <c r="J31" s="10">
        <v>1</v>
      </c>
      <c r="K31" s="10">
        <v>1</v>
      </c>
      <c r="L31" s="10">
        <v>1</v>
      </c>
      <c r="M31" s="10">
        <v>1</v>
      </c>
      <c r="N31" s="10">
        <v>1</v>
      </c>
      <c r="O31" s="10">
        <v>1</v>
      </c>
      <c r="P31" s="10">
        <v>1</v>
      </c>
      <c r="Q31" s="10">
        <v>1</v>
      </c>
      <c r="R31" s="10">
        <v>1</v>
      </c>
      <c r="S31" s="13">
        <v>46207</v>
      </c>
      <c r="T31" s="10"/>
      <c r="U31" s="10"/>
    </row>
    <row r="32" spans="1:21" x14ac:dyDescent="0.25">
      <c r="A32" s="1" t="s">
        <v>119</v>
      </c>
      <c r="B32" s="30" t="s">
        <v>116</v>
      </c>
      <c r="C32" s="10">
        <v>9220</v>
      </c>
      <c r="D32" s="10">
        <f t="shared" si="0"/>
        <v>14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3">
        <v>46238</v>
      </c>
      <c r="T32" s="10" t="s">
        <v>53</v>
      </c>
      <c r="U32" s="10" t="s">
        <v>53</v>
      </c>
    </row>
    <row r="33" spans="1:21" x14ac:dyDescent="0.25">
      <c r="A33" s="1" t="s">
        <v>119</v>
      </c>
      <c r="B33" s="30" t="s">
        <v>117</v>
      </c>
      <c r="C33" s="10">
        <v>9248</v>
      </c>
      <c r="D33" s="10">
        <f t="shared" si="0"/>
        <v>14</v>
      </c>
      <c r="E33" s="10">
        <v>1</v>
      </c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  <c r="R33" s="10">
        <v>1</v>
      </c>
      <c r="S33" s="13">
        <v>46269</v>
      </c>
      <c r="T33" s="10" t="s">
        <v>25</v>
      </c>
      <c r="U33" s="10"/>
    </row>
    <row r="34" spans="1:21" x14ac:dyDescent="0.25">
      <c r="A34" s="1" t="s">
        <v>119</v>
      </c>
      <c r="B34" s="30" t="s">
        <v>118</v>
      </c>
      <c r="C34" s="10">
        <v>9232</v>
      </c>
      <c r="D34" s="10">
        <f t="shared" si="0"/>
        <v>14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3">
        <v>46299</v>
      </c>
      <c r="T34" s="10" t="s">
        <v>25</v>
      </c>
      <c r="U34" s="10"/>
    </row>
    <row r="35" spans="1:21" x14ac:dyDescent="0.25">
      <c r="B35" s="16"/>
      <c r="C35" s="16"/>
      <c r="D35" s="19">
        <f>SUM(D3:D34)</f>
        <v>518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</sheetData>
  <mergeCells count="4">
    <mergeCell ref="A1:D1"/>
    <mergeCell ref="E1:R1"/>
    <mergeCell ref="S1:S2"/>
    <mergeCell ref="T1:U1"/>
  </mergeCells>
  <pageMargins left="0.7" right="0.7" top="0.75" bottom="0.75" header="0.3" footer="0.3"/>
  <pageSetup paperSize="256" orientation="portrait" horizontalDpi="203" verticalDpi="203" r:id="rId1"/>
  <ignoredErrors>
    <ignoredError sqref="D3:D25 D30:D34" formulaRange="1"/>
    <ignoredError sqref="B24:B25 B36:U44 T28:U28 B26:B34 T31:U31 T27:U27 B35:C35 E35:U35 U34 U33 U29" numberStoredAsText="1"/>
    <ignoredError sqref="D26:D29" numberStoredAsText="1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53"/>
  <sheetViews>
    <sheetView workbookViewId="0">
      <selection activeCell="S32" sqref="S32:T33"/>
    </sheetView>
  </sheetViews>
  <sheetFormatPr defaultColWidth="11.42578125" defaultRowHeight="15" x14ac:dyDescent="0.25"/>
  <cols>
    <col min="1" max="1" width="20.5703125" customWidth="1"/>
    <col min="5" max="5" width="4.140625" customWidth="1"/>
    <col min="6" max="6" width="5.28515625" customWidth="1"/>
    <col min="7" max="7" width="4" customWidth="1"/>
    <col min="8" max="8" width="5.42578125" customWidth="1"/>
    <col min="9" max="9" width="4" customWidth="1"/>
    <col min="10" max="10" width="5.42578125" customWidth="1"/>
    <col min="11" max="11" width="4.42578125" customWidth="1"/>
    <col min="12" max="12" width="5.5703125" customWidth="1"/>
    <col min="13" max="13" width="4.42578125" customWidth="1"/>
    <col min="14" max="14" width="5.28515625" customWidth="1"/>
    <col min="15" max="15" width="4.140625" customWidth="1"/>
    <col min="16" max="16" width="5.5703125" customWidth="1"/>
    <col min="17" max="17" width="4.5703125" customWidth="1"/>
    <col min="18" max="18" width="5.42578125" customWidth="1"/>
    <col min="19" max="19" width="16.42578125" customWidth="1"/>
    <col min="20" max="20" width="12" customWidth="1"/>
    <col min="21" max="21" width="11.85546875" customWidth="1"/>
  </cols>
  <sheetData>
    <row r="1" spans="1:21" ht="18.75" x14ac:dyDescent="0.25">
      <c r="A1" s="63" t="s">
        <v>120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66"/>
      <c r="T2" s="22" t="s">
        <v>9</v>
      </c>
      <c r="U2" s="22" t="s">
        <v>10</v>
      </c>
    </row>
    <row r="3" spans="1:21" x14ac:dyDescent="0.25">
      <c r="A3" s="1" t="s">
        <v>142</v>
      </c>
      <c r="B3" s="30" t="s">
        <v>121</v>
      </c>
      <c r="C3" s="2">
        <v>9227</v>
      </c>
      <c r="D3" s="26">
        <f>SUM(E3:R3)</f>
        <v>42</v>
      </c>
      <c r="E3" s="10">
        <v>3</v>
      </c>
      <c r="F3" s="10">
        <v>3</v>
      </c>
      <c r="G3" s="10">
        <v>3</v>
      </c>
      <c r="H3" s="10">
        <v>3</v>
      </c>
      <c r="I3" s="10">
        <v>3</v>
      </c>
      <c r="J3" s="10">
        <v>3</v>
      </c>
      <c r="K3" s="10">
        <v>3</v>
      </c>
      <c r="L3" s="10">
        <v>3</v>
      </c>
      <c r="M3" s="10">
        <v>3</v>
      </c>
      <c r="N3" s="10">
        <v>3</v>
      </c>
      <c r="O3" s="10">
        <v>3</v>
      </c>
      <c r="P3" s="10">
        <v>3</v>
      </c>
      <c r="Q3" s="10">
        <v>3</v>
      </c>
      <c r="R3" s="10">
        <v>3</v>
      </c>
      <c r="S3" s="13">
        <v>46090</v>
      </c>
      <c r="T3" s="10" t="s">
        <v>25</v>
      </c>
      <c r="U3" s="10"/>
    </row>
    <row r="4" spans="1:21" x14ac:dyDescent="0.25">
      <c r="A4" s="1" t="s">
        <v>142</v>
      </c>
      <c r="B4" s="30" t="s">
        <v>122</v>
      </c>
      <c r="C4" s="2">
        <v>9213</v>
      </c>
      <c r="D4" s="26">
        <f t="shared" ref="D4:D27" si="0">SUM(E4:R4)</f>
        <v>42</v>
      </c>
      <c r="E4" s="10">
        <v>3</v>
      </c>
      <c r="F4" s="10">
        <v>3</v>
      </c>
      <c r="G4" s="10">
        <v>3</v>
      </c>
      <c r="H4" s="10">
        <v>3</v>
      </c>
      <c r="I4" s="10">
        <v>3</v>
      </c>
      <c r="J4" s="10">
        <v>3</v>
      </c>
      <c r="K4" s="10">
        <v>3</v>
      </c>
      <c r="L4" s="10">
        <v>3</v>
      </c>
      <c r="M4" s="10">
        <v>3</v>
      </c>
      <c r="N4" s="10">
        <v>3</v>
      </c>
      <c r="O4" s="10">
        <v>3</v>
      </c>
      <c r="P4" s="10">
        <v>3</v>
      </c>
      <c r="Q4" s="10">
        <v>3</v>
      </c>
      <c r="R4" s="10">
        <v>3</v>
      </c>
      <c r="S4" s="13">
        <v>46090</v>
      </c>
      <c r="T4" s="10" t="s">
        <v>53</v>
      </c>
      <c r="U4" s="10"/>
    </row>
    <row r="5" spans="1:21" x14ac:dyDescent="0.25">
      <c r="A5" s="1" t="s">
        <v>142</v>
      </c>
      <c r="B5" s="30" t="s">
        <v>123</v>
      </c>
      <c r="C5" s="2">
        <v>9201</v>
      </c>
      <c r="D5" s="26">
        <f t="shared" si="0"/>
        <v>42</v>
      </c>
      <c r="E5" s="10">
        <v>3</v>
      </c>
      <c r="F5" s="10">
        <v>3</v>
      </c>
      <c r="G5" s="10">
        <v>3</v>
      </c>
      <c r="H5" s="10">
        <v>3</v>
      </c>
      <c r="I5" s="10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  <c r="P5" s="10">
        <v>3</v>
      </c>
      <c r="Q5" s="10">
        <v>3</v>
      </c>
      <c r="R5" s="10">
        <v>3</v>
      </c>
      <c r="S5" s="13">
        <v>46090</v>
      </c>
      <c r="T5" s="10" t="s">
        <v>59</v>
      </c>
      <c r="U5" s="10"/>
    </row>
    <row r="6" spans="1:21" x14ac:dyDescent="0.25">
      <c r="A6" s="1" t="s">
        <v>142</v>
      </c>
      <c r="B6" s="30" t="s">
        <v>124</v>
      </c>
      <c r="C6" s="2">
        <v>9004</v>
      </c>
      <c r="D6" s="26">
        <f t="shared" si="0"/>
        <v>42</v>
      </c>
      <c r="E6" s="10">
        <v>3</v>
      </c>
      <c r="F6" s="10">
        <v>3</v>
      </c>
      <c r="G6" s="10">
        <v>3</v>
      </c>
      <c r="H6" s="10">
        <v>3</v>
      </c>
      <c r="I6" s="10">
        <v>3</v>
      </c>
      <c r="J6" s="10">
        <v>3</v>
      </c>
      <c r="K6" s="10">
        <v>3</v>
      </c>
      <c r="L6" s="10">
        <v>3</v>
      </c>
      <c r="M6" s="10">
        <v>3</v>
      </c>
      <c r="N6" s="10">
        <v>3</v>
      </c>
      <c r="O6" s="10">
        <v>3</v>
      </c>
      <c r="P6" s="10">
        <v>3</v>
      </c>
      <c r="Q6" s="10">
        <v>3</v>
      </c>
      <c r="R6" s="10">
        <v>3</v>
      </c>
      <c r="S6" s="13">
        <v>46090</v>
      </c>
      <c r="T6" s="10" t="s">
        <v>23</v>
      </c>
      <c r="U6" s="10"/>
    </row>
    <row r="7" spans="1:21" x14ac:dyDescent="0.25">
      <c r="A7" s="1" t="s">
        <v>142</v>
      </c>
      <c r="B7" s="30" t="s">
        <v>125</v>
      </c>
      <c r="C7" s="2" t="s">
        <v>143</v>
      </c>
      <c r="D7" s="26">
        <f t="shared" si="0"/>
        <v>42</v>
      </c>
      <c r="E7" s="10">
        <v>3</v>
      </c>
      <c r="F7" s="10">
        <v>3</v>
      </c>
      <c r="G7" s="10">
        <v>3</v>
      </c>
      <c r="H7" s="10">
        <v>3</v>
      </c>
      <c r="I7" s="10">
        <v>3</v>
      </c>
      <c r="J7" s="10">
        <v>3</v>
      </c>
      <c r="K7" s="10">
        <v>3</v>
      </c>
      <c r="L7" s="10">
        <v>3</v>
      </c>
      <c r="M7" s="10">
        <v>3</v>
      </c>
      <c r="N7" s="10">
        <v>3</v>
      </c>
      <c r="O7" s="10">
        <v>3</v>
      </c>
      <c r="P7" s="10">
        <v>3</v>
      </c>
      <c r="Q7" s="10">
        <v>3</v>
      </c>
      <c r="R7" s="10">
        <v>3</v>
      </c>
      <c r="S7" s="13">
        <v>46090</v>
      </c>
      <c r="T7" s="10" t="s">
        <v>25</v>
      </c>
      <c r="U7" s="10"/>
    </row>
    <row r="8" spans="1:21" x14ac:dyDescent="0.25">
      <c r="A8" s="1" t="s">
        <v>142</v>
      </c>
      <c r="B8" s="30" t="s">
        <v>126</v>
      </c>
      <c r="C8" s="2">
        <v>9205</v>
      </c>
      <c r="D8" s="26">
        <f t="shared" si="0"/>
        <v>42</v>
      </c>
      <c r="E8" s="10">
        <v>3</v>
      </c>
      <c r="F8" s="10">
        <v>3</v>
      </c>
      <c r="G8" s="10">
        <v>3</v>
      </c>
      <c r="H8" s="10">
        <v>3</v>
      </c>
      <c r="I8" s="10">
        <v>3</v>
      </c>
      <c r="J8" s="10">
        <v>3</v>
      </c>
      <c r="K8" s="10">
        <v>3</v>
      </c>
      <c r="L8" s="10">
        <v>3</v>
      </c>
      <c r="M8" s="10">
        <v>3</v>
      </c>
      <c r="N8" s="10">
        <v>3</v>
      </c>
      <c r="O8" s="10">
        <v>3</v>
      </c>
      <c r="P8" s="10">
        <v>3</v>
      </c>
      <c r="Q8" s="10">
        <v>3</v>
      </c>
      <c r="R8" s="10">
        <v>3</v>
      </c>
      <c r="S8" s="13">
        <v>46090</v>
      </c>
      <c r="T8" s="10" t="s">
        <v>53</v>
      </c>
      <c r="U8" s="10"/>
    </row>
    <row r="9" spans="1:21" x14ac:dyDescent="0.25">
      <c r="A9" s="1" t="s">
        <v>142</v>
      </c>
      <c r="B9" s="30" t="s">
        <v>127</v>
      </c>
      <c r="C9" s="2">
        <v>9242</v>
      </c>
      <c r="D9" s="26">
        <f t="shared" si="0"/>
        <v>42</v>
      </c>
      <c r="E9" s="10">
        <v>3</v>
      </c>
      <c r="F9" s="10">
        <v>3</v>
      </c>
      <c r="G9" s="10">
        <v>3</v>
      </c>
      <c r="H9" s="10">
        <v>3</v>
      </c>
      <c r="I9" s="10">
        <v>3</v>
      </c>
      <c r="J9" s="10">
        <v>3</v>
      </c>
      <c r="K9" s="10">
        <v>3</v>
      </c>
      <c r="L9" s="10">
        <v>3</v>
      </c>
      <c r="M9" s="10">
        <v>3</v>
      </c>
      <c r="N9" s="10">
        <v>3</v>
      </c>
      <c r="O9" s="10">
        <v>3</v>
      </c>
      <c r="P9" s="10">
        <v>3</v>
      </c>
      <c r="Q9" s="10">
        <v>3</v>
      </c>
      <c r="R9" s="10">
        <v>3</v>
      </c>
      <c r="S9" s="13">
        <v>46090</v>
      </c>
      <c r="T9" s="10" t="s">
        <v>53</v>
      </c>
      <c r="U9" s="10"/>
    </row>
    <row r="10" spans="1:21" x14ac:dyDescent="0.25">
      <c r="A10" s="1" t="s">
        <v>142</v>
      </c>
      <c r="B10" s="30" t="s">
        <v>128</v>
      </c>
      <c r="C10" s="2">
        <v>9272</v>
      </c>
      <c r="D10" s="26">
        <f t="shared" si="0"/>
        <v>42</v>
      </c>
      <c r="E10" s="10">
        <v>3</v>
      </c>
      <c r="F10" s="10">
        <v>3</v>
      </c>
      <c r="G10" s="10">
        <v>3</v>
      </c>
      <c r="H10" s="10">
        <v>3</v>
      </c>
      <c r="I10" s="10">
        <v>3</v>
      </c>
      <c r="J10" s="10">
        <v>3</v>
      </c>
      <c r="K10" s="10">
        <v>3</v>
      </c>
      <c r="L10" s="10">
        <v>3</v>
      </c>
      <c r="M10" s="10">
        <v>3</v>
      </c>
      <c r="N10" s="10">
        <v>3</v>
      </c>
      <c r="O10" s="10">
        <v>3</v>
      </c>
      <c r="P10" s="10">
        <v>3</v>
      </c>
      <c r="Q10" s="10">
        <v>3</v>
      </c>
      <c r="R10" s="10">
        <v>3</v>
      </c>
      <c r="S10" s="13">
        <v>46090</v>
      </c>
      <c r="T10" s="10"/>
      <c r="U10" s="10"/>
    </row>
    <row r="11" spans="1:21" x14ac:dyDescent="0.25">
      <c r="A11" s="1" t="s">
        <v>142</v>
      </c>
      <c r="B11" s="30" t="s">
        <v>129</v>
      </c>
      <c r="C11" s="2">
        <v>9246</v>
      </c>
      <c r="D11" s="26">
        <f t="shared" si="0"/>
        <v>42</v>
      </c>
      <c r="E11" s="10">
        <v>3</v>
      </c>
      <c r="F11" s="10">
        <v>3</v>
      </c>
      <c r="G11" s="10">
        <v>3</v>
      </c>
      <c r="H11" s="10">
        <v>3</v>
      </c>
      <c r="I11" s="10">
        <v>3</v>
      </c>
      <c r="J11" s="10">
        <v>3</v>
      </c>
      <c r="K11" s="10">
        <v>3</v>
      </c>
      <c r="L11" s="10">
        <v>3</v>
      </c>
      <c r="M11" s="10">
        <v>3</v>
      </c>
      <c r="N11" s="10">
        <v>3</v>
      </c>
      <c r="O11" s="10">
        <v>3</v>
      </c>
      <c r="P11" s="10">
        <v>3</v>
      </c>
      <c r="Q11" s="10">
        <v>3</v>
      </c>
      <c r="R11" s="10">
        <v>3</v>
      </c>
      <c r="S11" s="13">
        <v>46090</v>
      </c>
      <c r="T11" s="10"/>
      <c r="U11" s="10"/>
    </row>
    <row r="12" spans="1:21" x14ac:dyDescent="0.25">
      <c r="A12" s="1" t="s">
        <v>142</v>
      </c>
      <c r="B12" s="30" t="s">
        <v>130</v>
      </c>
      <c r="C12" s="2">
        <v>9201</v>
      </c>
      <c r="D12" s="26">
        <f t="shared" si="0"/>
        <v>42</v>
      </c>
      <c r="E12" s="10">
        <v>3</v>
      </c>
      <c r="F12" s="10">
        <v>3</v>
      </c>
      <c r="G12" s="10">
        <v>3</v>
      </c>
      <c r="H12" s="10">
        <v>3</v>
      </c>
      <c r="I12" s="10">
        <v>3</v>
      </c>
      <c r="J12" s="10">
        <v>3</v>
      </c>
      <c r="K12" s="10">
        <v>3</v>
      </c>
      <c r="L12" s="10">
        <v>3</v>
      </c>
      <c r="M12" s="10">
        <v>3</v>
      </c>
      <c r="N12" s="10">
        <v>3</v>
      </c>
      <c r="O12" s="10">
        <v>3</v>
      </c>
      <c r="P12" s="10">
        <v>3</v>
      </c>
      <c r="Q12" s="10">
        <v>3</v>
      </c>
      <c r="R12" s="10">
        <v>3</v>
      </c>
      <c r="S12" s="13">
        <v>46090</v>
      </c>
      <c r="T12" s="10" t="s">
        <v>53</v>
      </c>
      <c r="U12" s="10" t="s">
        <v>25</v>
      </c>
    </row>
    <row r="13" spans="1:21" x14ac:dyDescent="0.25">
      <c r="A13" s="1" t="s">
        <v>142</v>
      </c>
      <c r="B13" s="30" t="s">
        <v>131</v>
      </c>
      <c r="C13" s="2">
        <v>9270</v>
      </c>
      <c r="D13" s="26">
        <f t="shared" si="0"/>
        <v>42</v>
      </c>
      <c r="E13" s="10">
        <v>3</v>
      </c>
      <c r="F13" s="10">
        <v>3</v>
      </c>
      <c r="G13" s="10">
        <v>3</v>
      </c>
      <c r="H13" s="10">
        <v>3</v>
      </c>
      <c r="I13" s="10">
        <v>3</v>
      </c>
      <c r="J13" s="10">
        <v>3</v>
      </c>
      <c r="K13" s="10">
        <v>3</v>
      </c>
      <c r="L13" s="10">
        <v>3</v>
      </c>
      <c r="M13" s="10">
        <v>3</v>
      </c>
      <c r="N13" s="10">
        <v>3</v>
      </c>
      <c r="O13" s="10">
        <v>3</v>
      </c>
      <c r="P13" s="10">
        <v>3</v>
      </c>
      <c r="Q13" s="10">
        <v>3</v>
      </c>
      <c r="R13" s="10">
        <v>3</v>
      </c>
      <c r="S13" s="13">
        <v>46090</v>
      </c>
      <c r="T13" s="10"/>
      <c r="U13" s="10"/>
    </row>
    <row r="14" spans="1:21" x14ac:dyDescent="0.25">
      <c r="A14" s="1" t="s">
        <v>142</v>
      </c>
      <c r="B14" s="30" t="s">
        <v>132</v>
      </c>
      <c r="C14" s="2">
        <v>9227</v>
      </c>
      <c r="D14" s="26">
        <f t="shared" si="0"/>
        <v>42</v>
      </c>
      <c r="E14" s="10">
        <v>3</v>
      </c>
      <c r="F14" s="10">
        <v>3</v>
      </c>
      <c r="G14" s="10">
        <v>3</v>
      </c>
      <c r="H14" s="10">
        <v>3</v>
      </c>
      <c r="I14" s="10">
        <v>3</v>
      </c>
      <c r="J14" s="10">
        <v>3</v>
      </c>
      <c r="K14" s="10">
        <v>3</v>
      </c>
      <c r="L14" s="10">
        <v>3</v>
      </c>
      <c r="M14" s="10">
        <v>3</v>
      </c>
      <c r="N14" s="10">
        <v>3</v>
      </c>
      <c r="O14" s="10">
        <v>3</v>
      </c>
      <c r="P14" s="10">
        <v>3</v>
      </c>
      <c r="Q14" s="10">
        <v>3</v>
      </c>
      <c r="R14" s="10">
        <v>3</v>
      </c>
      <c r="S14" s="13">
        <v>46090</v>
      </c>
      <c r="T14" s="10" t="s">
        <v>25</v>
      </c>
      <c r="U14" s="10"/>
    </row>
    <row r="15" spans="1:21" x14ac:dyDescent="0.25">
      <c r="A15" s="1" t="s">
        <v>101</v>
      </c>
      <c r="B15" s="30" t="s">
        <v>136</v>
      </c>
      <c r="C15" s="10" t="s">
        <v>145</v>
      </c>
      <c r="D15" s="26">
        <f t="shared" si="0"/>
        <v>24</v>
      </c>
      <c r="E15" s="10">
        <v>2</v>
      </c>
      <c r="F15" s="10">
        <v>2</v>
      </c>
      <c r="G15" s="10">
        <v>2</v>
      </c>
      <c r="H15" s="10">
        <v>2</v>
      </c>
      <c r="I15" s="10">
        <v>2</v>
      </c>
      <c r="J15" s="10">
        <v>2</v>
      </c>
      <c r="K15" s="10">
        <v>2</v>
      </c>
      <c r="L15" s="10">
        <v>1</v>
      </c>
      <c r="M15" s="10">
        <v>2</v>
      </c>
      <c r="N15" s="10">
        <v>1</v>
      </c>
      <c r="O15" s="10">
        <v>2</v>
      </c>
      <c r="P15" s="10">
        <v>1</v>
      </c>
      <c r="Q15" s="10">
        <v>2</v>
      </c>
      <c r="R15" s="10">
        <v>1</v>
      </c>
      <c r="S15" s="13">
        <v>46090</v>
      </c>
      <c r="T15" s="10"/>
      <c r="U15" s="10"/>
    </row>
    <row r="16" spans="1:21" x14ac:dyDescent="0.25">
      <c r="A16" s="1" t="s">
        <v>146</v>
      </c>
      <c r="B16" s="30" t="s">
        <v>137</v>
      </c>
      <c r="C16" s="10" t="s">
        <v>147</v>
      </c>
      <c r="D16" s="26">
        <f t="shared" si="0"/>
        <v>48</v>
      </c>
      <c r="E16" s="10">
        <v>4</v>
      </c>
      <c r="F16" s="10">
        <v>4</v>
      </c>
      <c r="G16" s="10">
        <v>4</v>
      </c>
      <c r="H16" s="10">
        <v>4</v>
      </c>
      <c r="I16" s="10">
        <v>4</v>
      </c>
      <c r="J16" s="10">
        <v>4</v>
      </c>
      <c r="K16" s="10">
        <v>4</v>
      </c>
      <c r="L16" s="10">
        <v>2</v>
      </c>
      <c r="M16" s="10">
        <v>4</v>
      </c>
      <c r="N16" s="10">
        <v>2</v>
      </c>
      <c r="O16" s="10">
        <v>4</v>
      </c>
      <c r="P16" s="10">
        <v>2</v>
      </c>
      <c r="Q16" s="10">
        <v>4</v>
      </c>
      <c r="R16" s="10">
        <v>2</v>
      </c>
      <c r="S16" s="13">
        <v>46090</v>
      </c>
      <c r="T16" s="10"/>
      <c r="U16" s="10"/>
    </row>
    <row r="17" spans="1:21" x14ac:dyDescent="0.25">
      <c r="A17" s="1" t="s">
        <v>146</v>
      </c>
      <c r="B17" s="30" t="s">
        <v>138</v>
      </c>
      <c r="C17" s="10" t="s">
        <v>148</v>
      </c>
      <c r="D17" s="26">
        <f t="shared" si="0"/>
        <v>48</v>
      </c>
      <c r="E17" s="10">
        <v>4</v>
      </c>
      <c r="F17" s="10">
        <v>4</v>
      </c>
      <c r="G17" s="10">
        <v>4</v>
      </c>
      <c r="H17" s="10">
        <v>4</v>
      </c>
      <c r="I17" s="10">
        <v>4</v>
      </c>
      <c r="J17" s="10">
        <v>4</v>
      </c>
      <c r="K17" s="10">
        <v>4</v>
      </c>
      <c r="L17" s="10">
        <v>2</v>
      </c>
      <c r="M17" s="10">
        <v>4</v>
      </c>
      <c r="N17" s="10">
        <v>2</v>
      </c>
      <c r="O17" s="10">
        <v>4</v>
      </c>
      <c r="P17" s="10">
        <v>2</v>
      </c>
      <c r="Q17" s="10">
        <v>4</v>
      </c>
      <c r="R17" s="10">
        <v>2</v>
      </c>
      <c r="S17" s="13">
        <v>46090</v>
      </c>
      <c r="T17" s="10" t="s">
        <v>53</v>
      </c>
      <c r="U17" s="10" t="s">
        <v>25</v>
      </c>
    </row>
    <row r="18" spans="1:21" x14ac:dyDescent="0.25">
      <c r="A18" s="1" t="s">
        <v>146</v>
      </c>
      <c r="B18" s="30" t="s">
        <v>139</v>
      </c>
      <c r="C18" s="10" t="s">
        <v>149</v>
      </c>
      <c r="D18" s="26">
        <f t="shared" si="0"/>
        <v>48</v>
      </c>
      <c r="E18" s="10">
        <v>4</v>
      </c>
      <c r="F18" s="10">
        <v>4</v>
      </c>
      <c r="G18" s="10">
        <v>4</v>
      </c>
      <c r="H18" s="10">
        <v>4</v>
      </c>
      <c r="I18" s="10">
        <v>4</v>
      </c>
      <c r="J18" s="10">
        <v>4</v>
      </c>
      <c r="K18" s="10">
        <v>4</v>
      </c>
      <c r="L18" s="10">
        <v>2</v>
      </c>
      <c r="M18" s="10">
        <v>4</v>
      </c>
      <c r="N18" s="10">
        <v>2</v>
      </c>
      <c r="O18" s="10">
        <v>4</v>
      </c>
      <c r="P18" s="10">
        <v>2</v>
      </c>
      <c r="Q18" s="10">
        <v>4</v>
      </c>
      <c r="R18" s="10">
        <v>2</v>
      </c>
      <c r="S18" s="13">
        <v>46090</v>
      </c>
      <c r="T18" s="10" t="s">
        <v>23</v>
      </c>
      <c r="U18" s="10" t="s">
        <v>25</v>
      </c>
    </row>
    <row r="19" spans="1:21" x14ac:dyDescent="0.25">
      <c r="A19" s="1" t="s">
        <v>146</v>
      </c>
      <c r="B19" s="30" t="s">
        <v>140</v>
      </c>
      <c r="C19" s="10" t="s">
        <v>150</v>
      </c>
      <c r="D19" s="26">
        <f t="shared" si="0"/>
        <v>48</v>
      </c>
      <c r="E19" s="10">
        <v>4</v>
      </c>
      <c r="F19" s="10">
        <v>4</v>
      </c>
      <c r="G19" s="10">
        <v>4</v>
      </c>
      <c r="H19" s="10">
        <v>4</v>
      </c>
      <c r="I19" s="10">
        <v>4</v>
      </c>
      <c r="J19" s="10">
        <v>4</v>
      </c>
      <c r="K19" s="10">
        <v>4</v>
      </c>
      <c r="L19" s="10">
        <v>2</v>
      </c>
      <c r="M19" s="10">
        <v>4</v>
      </c>
      <c r="N19" s="10">
        <v>2</v>
      </c>
      <c r="O19" s="10">
        <v>4</v>
      </c>
      <c r="P19" s="10">
        <v>2</v>
      </c>
      <c r="Q19" s="10">
        <v>4</v>
      </c>
      <c r="R19" s="10">
        <v>2</v>
      </c>
      <c r="S19" s="13">
        <v>46090</v>
      </c>
      <c r="T19" s="10"/>
      <c r="U19" s="10" t="s">
        <v>25</v>
      </c>
    </row>
    <row r="20" spans="1:21" x14ac:dyDescent="0.25">
      <c r="A20" s="1" t="s">
        <v>152</v>
      </c>
      <c r="B20" s="33" t="s">
        <v>153</v>
      </c>
      <c r="C20" s="2">
        <v>9236</v>
      </c>
      <c r="D20" s="34">
        <f t="shared" si="0"/>
        <v>18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2</v>
      </c>
      <c r="L20" s="2">
        <v>2</v>
      </c>
      <c r="M20" s="2">
        <v>2</v>
      </c>
      <c r="N20" s="2">
        <v>2</v>
      </c>
      <c r="O20" s="2">
        <v>1</v>
      </c>
      <c r="P20" s="2">
        <v>1</v>
      </c>
      <c r="Q20" s="2">
        <v>1</v>
      </c>
      <c r="R20" s="2">
        <v>1</v>
      </c>
      <c r="S20" s="13">
        <v>46090</v>
      </c>
      <c r="T20" s="2" t="s">
        <v>25</v>
      </c>
      <c r="U20" s="2" t="s">
        <v>25</v>
      </c>
    </row>
    <row r="21" spans="1:21" x14ac:dyDescent="0.25">
      <c r="A21" s="1" t="s">
        <v>152</v>
      </c>
      <c r="B21" s="33" t="s">
        <v>154</v>
      </c>
      <c r="C21" s="2">
        <v>938</v>
      </c>
      <c r="D21" s="34">
        <f t="shared" si="0"/>
        <v>18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2</v>
      </c>
      <c r="L21" s="2">
        <v>2</v>
      </c>
      <c r="M21" s="2">
        <v>2</v>
      </c>
      <c r="N21" s="2">
        <v>2</v>
      </c>
      <c r="O21" s="2">
        <v>1</v>
      </c>
      <c r="P21" s="2">
        <v>1</v>
      </c>
      <c r="Q21" s="2">
        <v>1</v>
      </c>
      <c r="R21" s="2">
        <v>1</v>
      </c>
      <c r="S21" s="13">
        <v>46090</v>
      </c>
      <c r="T21" s="2"/>
      <c r="U21" s="2"/>
    </row>
    <row r="22" spans="1:21" x14ac:dyDescent="0.25">
      <c r="A22" s="1" t="s">
        <v>68</v>
      </c>
      <c r="B22" s="33" t="s">
        <v>156</v>
      </c>
      <c r="C22" s="2">
        <v>804</v>
      </c>
      <c r="D22" s="34">
        <f t="shared" si="0"/>
        <v>48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2</v>
      </c>
      <c r="M22" s="2">
        <v>4</v>
      </c>
      <c r="N22" s="2">
        <v>2</v>
      </c>
      <c r="O22" s="2">
        <v>4</v>
      </c>
      <c r="P22" s="2">
        <v>2</v>
      </c>
      <c r="Q22" s="2">
        <v>4</v>
      </c>
      <c r="R22" s="2">
        <v>2</v>
      </c>
      <c r="S22" s="3">
        <v>46093</v>
      </c>
      <c r="T22" s="2" t="s">
        <v>53</v>
      </c>
      <c r="U22" s="2"/>
    </row>
    <row r="23" spans="1:21" x14ac:dyDescent="0.25">
      <c r="A23" s="1" t="s">
        <v>155</v>
      </c>
      <c r="B23" s="33" t="s">
        <v>157</v>
      </c>
      <c r="C23" s="2">
        <v>9205</v>
      </c>
      <c r="D23" s="34">
        <f t="shared" si="0"/>
        <v>28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2</v>
      </c>
      <c r="M23" s="2">
        <v>2</v>
      </c>
      <c r="N23" s="2">
        <v>2</v>
      </c>
      <c r="O23" s="2">
        <v>2</v>
      </c>
      <c r="P23" s="2">
        <v>2</v>
      </c>
      <c r="Q23" s="2">
        <v>2</v>
      </c>
      <c r="R23" s="2">
        <v>2</v>
      </c>
      <c r="S23" s="3">
        <v>46094</v>
      </c>
      <c r="T23" s="2"/>
      <c r="U23" s="2"/>
    </row>
    <row r="24" spans="1:21" x14ac:dyDescent="0.25">
      <c r="A24" s="1" t="s">
        <v>155</v>
      </c>
      <c r="B24" s="33" t="s">
        <v>158</v>
      </c>
      <c r="C24" s="2" t="s">
        <v>30</v>
      </c>
      <c r="D24" s="34">
        <f t="shared" si="0"/>
        <v>28</v>
      </c>
      <c r="E24" s="2">
        <v>2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>
        <v>2</v>
      </c>
      <c r="L24" s="2">
        <v>2</v>
      </c>
      <c r="M24" s="2">
        <v>2</v>
      </c>
      <c r="N24" s="2">
        <v>2</v>
      </c>
      <c r="O24" s="2">
        <v>2</v>
      </c>
      <c r="P24" s="2">
        <v>2</v>
      </c>
      <c r="Q24" s="2">
        <v>2</v>
      </c>
      <c r="R24" s="2">
        <v>2</v>
      </c>
      <c r="S24" s="3">
        <v>46094</v>
      </c>
      <c r="T24" s="2" t="s">
        <v>53</v>
      </c>
      <c r="U24" s="2" t="s">
        <v>53</v>
      </c>
    </row>
    <row r="25" spans="1:21" x14ac:dyDescent="0.25">
      <c r="A25" s="1" t="s">
        <v>155</v>
      </c>
      <c r="B25" s="33" t="s">
        <v>159</v>
      </c>
      <c r="C25" s="2">
        <v>9219</v>
      </c>
      <c r="D25" s="34">
        <f t="shared" si="0"/>
        <v>28</v>
      </c>
      <c r="E25" s="2">
        <v>2</v>
      </c>
      <c r="F25" s="2">
        <v>2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2</v>
      </c>
      <c r="M25" s="2">
        <v>2</v>
      </c>
      <c r="N25" s="2">
        <v>2</v>
      </c>
      <c r="O25" s="2">
        <v>2</v>
      </c>
      <c r="P25" s="2">
        <v>2</v>
      </c>
      <c r="Q25" s="2">
        <v>2</v>
      </c>
      <c r="R25" s="2">
        <v>2</v>
      </c>
      <c r="S25" s="3">
        <v>46094</v>
      </c>
      <c r="T25" s="2" t="s">
        <v>53</v>
      </c>
      <c r="U25" s="2" t="s">
        <v>53</v>
      </c>
    </row>
    <row r="26" spans="1:21" x14ac:dyDescent="0.25">
      <c r="A26" s="1" t="s">
        <v>155</v>
      </c>
      <c r="B26" s="33" t="s">
        <v>160</v>
      </c>
      <c r="C26" s="2">
        <v>9232</v>
      </c>
      <c r="D26" s="34">
        <f t="shared" si="0"/>
        <v>28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2</v>
      </c>
      <c r="M26" s="2">
        <v>2</v>
      </c>
      <c r="N26" s="2">
        <v>2</v>
      </c>
      <c r="O26" s="2">
        <v>2</v>
      </c>
      <c r="P26" s="2">
        <v>2</v>
      </c>
      <c r="Q26" s="2">
        <v>2</v>
      </c>
      <c r="R26" s="2">
        <v>2</v>
      </c>
      <c r="S26" s="3">
        <v>46094</v>
      </c>
      <c r="T26" s="2" t="s">
        <v>25</v>
      </c>
      <c r="U26" s="2" t="s">
        <v>25</v>
      </c>
    </row>
    <row r="27" spans="1:21" x14ac:dyDescent="0.25">
      <c r="A27" s="1" t="s">
        <v>155</v>
      </c>
      <c r="B27" s="33" t="s">
        <v>161</v>
      </c>
      <c r="C27" s="2">
        <v>9240</v>
      </c>
      <c r="D27" s="34">
        <f t="shared" si="0"/>
        <v>28</v>
      </c>
      <c r="E27" s="2">
        <v>2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2</v>
      </c>
      <c r="M27" s="2">
        <v>2</v>
      </c>
      <c r="N27" s="2">
        <v>2</v>
      </c>
      <c r="O27" s="2">
        <v>2</v>
      </c>
      <c r="P27" s="2">
        <v>2</v>
      </c>
      <c r="Q27" s="2">
        <v>2</v>
      </c>
      <c r="R27" s="2">
        <v>2</v>
      </c>
      <c r="S27" s="3">
        <v>46094</v>
      </c>
      <c r="T27" s="2" t="s">
        <v>53</v>
      </c>
      <c r="U27" s="2" t="s">
        <v>53</v>
      </c>
    </row>
    <row r="28" spans="1:21" x14ac:dyDescent="0.25">
      <c r="D28" s="31"/>
    </row>
    <row r="29" spans="1:21" ht="18.75" x14ac:dyDescent="0.25">
      <c r="A29" s="63" t="s">
        <v>120</v>
      </c>
      <c r="B29" s="63"/>
      <c r="C29" s="63"/>
      <c r="D29" s="63"/>
      <c r="E29" s="73" t="s">
        <v>4</v>
      </c>
      <c r="F29" s="74"/>
      <c r="G29" s="74"/>
      <c r="H29" s="74"/>
      <c r="I29" s="74"/>
      <c r="J29" s="74"/>
      <c r="K29" s="74"/>
      <c r="L29" s="74"/>
      <c r="M29" s="74"/>
      <c r="N29" s="75"/>
      <c r="O29" s="67" t="s">
        <v>144</v>
      </c>
      <c r="P29" s="68"/>
      <c r="Q29" s="68"/>
      <c r="R29" s="69"/>
      <c r="S29" s="62" t="s">
        <v>6</v>
      </c>
      <c r="T29" s="62"/>
    </row>
    <row r="30" spans="1:21" x14ac:dyDescent="0.25">
      <c r="A30" s="6" t="s">
        <v>0</v>
      </c>
      <c r="B30" s="6" t="s">
        <v>1</v>
      </c>
      <c r="C30" s="6" t="s">
        <v>3</v>
      </c>
      <c r="D30" s="12" t="s">
        <v>2</v>
      </c>
      <c r="E30" s="6">
        <v>22</v>
      </c>
      <c r="F30" s="6">
        <v>22.5</v>
      </c>
      <c r="G30" s="6">
        <v>23</v>
      </c>
      <c r="H30" s="6">
        <v>23.5</v>
      </c>
      <c r="I30" s="6">
        <v>24</v>
      </c>
      <c r="J30" s="6">
        <v>24.5</v>
      </c>
      <c r="K30" s="6">
        <v>25</v>
      </c>
      <c r="L30" s="6">
        <v>25.5</v>
      </c>
      <c r="M30" s="6">
        <v>26</v>
      </c>
      <c r="N30" s="6">
        <v>26.5</v>
      </c>
      <c r="O30" s="70"/>
      <c r="P30" s="71"/>
      <c r="Q30" s="71"/>
      <c r="R30" s="72"/>
      <c r="S30" s="62"/>
      <c r="T30" s="62"/>
    </row>
    <row r="31" spans="1:21" x14ac:dyDescent="0.25">
      <c r="A31" s="1" t="s">
        <v>142</v>
      </c>
      <c r="B31" s="33" t="s">
        <v>133</v>
      </c>
      <c r="C31" s="2">
        <v>2408</v>
      </c>
      <c r="D31" s="34">
        <f>SUM(E31:N31)</f>
        <v>22</v>
      </c>
      <c r="E31" s="2">
        <v>2</v>
      </c>
      <c r="F31" s="2">
        <v>2</v>
      </c>
      <c r="G31" s="2">
        <v>3</v>
      </c>
      <c r="H31" s="2">
        <v>3</v>
      </c>
      <c r="I31" s="2">
        <v>3</v>
      </c>
      <c r="J31" s="2">
        <v>3</v>
      </c>
      <c r="K31" s="2">
        <v>2</v>
      </c>
      <c r="L31" s="2">
        <v>2</v>
      </c>
      <c r="M31" s="2">
        <v>2</v>
      </c>
      <c r="N31" s="2"/>
      <c r="O31" s="76">
        <v>46090</v>
      </c>
      <c r="P31" s="77"/>
      <c r="Q31" s="77"/>
      <c r="R31" s="78"/>
      <c r="S31" s="2"/>
      <c r="T31" s="2"/>
    </row>
    <row r="32" spans="1:21" x14ac:dyDescent="0.25">
      <c r="A32" s="1" t="s">
        <v>142</v>
      </c>
      <c r="B32" s="33" t="s">
        <v>134</v>
      </c>
      <c r="C32" s="2">
        <v>2403</v>
      </c>
      <c r="D32" s="34">
        <f t="shared" ref="D32:D34" si="1">SUM(E32:N32)</f>
        <v>22</v>
      </c>
      <c r="E32" s="2">
        <v>2</v>
      </c>
      <c r="F32" s="2">
        <v>2</v>
      </c>
      <c r="G32" s="2">
        <v>3</v>
      </c>
      <c r="H32" s="2">
        <v>3</v>
      </c>
      <c r="I32" s="2">
        <v>3</v>
      </c>
      <c r="J32" s="2">
        <v>3</v>
      </c>
      <c r="K32" s="2">
        <v>2</v>
      </c>
      <c r="L32" s="2">
        <v>2</v>
      </c>
      <c r="M32" s="2">
        <v>2</v>
      </c>
      <c r="N32" s="2"/>
      <c r="O32" s="76">
        <v>46090</v>
      </c>
      <c r="P32" s="77"/>
      <c r="Q32" s="77"/>
      <c r="R32" s="78"/>
      <c r="S32" s="2" t="s">
        <v>53</v>
      </c>
      <c r="T32" s="2" t="s">
        <v>53</v>
      </c>
    </row>
    <row r="33" spans="1:20" x14ac:dyDescent="0.25">
      <c r="A33" s="1" t="s">
        <v>142</v>
      </c>
      <c r="B33" s="33" t="s">
        <v>135</v>
      </c>
      <c r="C33" s="2">
        <v>9205</v>
      </c>
      <c r="D33" s="34">
        <f t="shared" si="1"/>
        <v>22</v>
      </c>
      <c r="E33" s="2">
        <v>2</v>
      </c>
      <c r="F33" s="2">
        <v>2</v>
      </c>
      <c r="G33" s="2">
        <v>3</v>
      </c>
      <c r="H33" s="2">
        <v>3</v>
      </c>
      <c r="I33" s="2">
        <v>3</v>
      </c>
      <c r="J33" s="2">
        <v>3</v>
      </c>
      <c r="K33" s="2">
        <v>2</v>
      </c>
      <c r="L33" s="2">
        <v>2</v>
      </c>
      <c r="M33" s="2">
        <v>2</v>
      </c>
      <c r="N33" s="2"/>
      <c r="O33" s="76">
        <v>46090</v>
      </c>
      <c r="P33" s="77"/>
      <c r="Q33" s="77"/>
      <c r="R33" s="78"/>
      <c r="S33" s="2" t="s">
        <v>53</v>
      </c>
      <c r="T33" s="2" t="s">
        <v>53</v>
      </c>
    </row>
    <row r="34" spans="1:20" x14ac:dyDescent="0.25">
      <c r="A34" s="1" t="s">
        <v>151</v>
      </c>
      <c r="B34" s="33" t="s">
        <v>141</v>
      </c>
      <c r="C34" s="2">
        <v>9201</v>
      </c>
      <c r="D34" s="34">
        <f t="shared" si="1"/>
        <v>12</v>
      </c>
      <c r="E34" s="2">
        <v>1</v>
      </c>
      <c r="F34" s="2">
        <v>1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/>
      <c r="M34" s="2"/>
      <c r="N34" s="2"/>
      <c r="O34" s="76">
        <v>46090</v>
      </c>
      <c r="P34" s="77"/>
      <c r="Q34" s="77"/>
      <c r="R34" s="78"/>
      <c r="S34" s="2"/>
      <c r="T34" s="2"/>
    </row>
    <row r="35" spans="1:20" x14ac:dyDescent="0.25">
      <c r="B35" s="35"/>
      <c r="C35" s="4"/>
      <c r="D35" s="36"/>
      <c r="E35" s="4"/>
      <c r="F35" s="4"/>
      <c r="G35" s="4"/>
      <c r="H35" s="4"/>
      <c r="I35" s="4"/>
      <c r="J35" s="4"/>
      <c r="K35" s="4"/>
      <c r="L35" s="4"/>
      <c r="M35" s="4"/>
      <c r="N35" s="4"/>
      <c r="O35" s="37"/>
      <c r="P35" s="37"/>
      <c r="Q35" s="37"/>
      <c r="R35" s="37"/>
    </row>
    <row r="36" spans="1:20" x14ac:dyDescent="0.25">
      <c r="B36" s="35"/>
      <c r="C36" s="4"/>
      <c r="D36" s="36"/>
      <c r="E36" s="4"/>
      <c r="F36" s="4"/>
      <c r="G36" s="4"/>
      <c r="H36" s="4"/>
      <c r="I36" s="4"/>
      <c r="J36" s="4"/>
      <c r="K36" s="4"/>
      <c r="L36" s="4"/>
      <c r="M36" s="4"/>
      <c r="N36" s="4"/>
      <c r="O36" s="37"/>
      <c r="P36" s="37"/>
      <c r="Q36" s="37"/>
      <c r="R36" s="37"/>
    </row>
    <row r="37" spans="1:20" x14ac:dyDescent="0.25">
      <c r="B37" s="35"/>
      <c r="C37" s="4"/>
      <c r="D37" s="36"/>
      <c r="E37" s="4"/>
      <c r="F37" s="4"/>
      <c r="G37" s="4"/>
      <c r="H37" s="4"/>
      <c r="I37" s="4"/>
      <c r="J37" s="4"/>
      <c r="K37" s="4"/>
      <c r="L37" s="4"/>
      <c r="M37" s="4"/>
      <c r="N37" s="4"/>
      <c r="O37" s="37"/>
      <c r="P37" s="37"/>
      <c r="Q37" s="37"/>
      <c r="R37" s="37"/>
    </row>
    <row r="38" spans="1:20" x14ac:dyDescent="0.25">
      <c r="B38" s="35"/>
      <c r="C38" s="4"/>
      <c r="D38" s="36"/>
      <c r="E38" s="4"/>
      <c r="F38" s="4"/>
      <c r="G38" s="4"/>
      <c r="H38" s="4"/>
      <c r="I38" s="4"/>
      <c r="J38" s="4"/>
      <c r="K38" s="4"/>
      <c r="L38" s="4"/>
      <c r="M38" s="4"/>
      <c r="N38" s="4"/>
      <c r="O38" s="37"/>
      <c r="P38" s="37"/>
      <c r="Q38" s="37"/>
      <c r="R38" s="37"/>
    </row>
    <row r="39" spans="1:20" x14ac:dyDescent="0.25">
      <c r="B39" s="35"/>
      <c r="C39" s="4"/>
      <c r="D39" s="36"/>
      <c r="E39" s="4"/>
      <c r="F39" s="4"/>
      <c r="G39" s="4"/>
      <c r="H39" s="4"/>
      <c r="I39" s="4"/>
      <c r="J39" s="4"/>
      <c r="K39" s="4"/>
      <c r="L39" s="4"/>
      <c r="M39" s="4"/>
      <c r="N39" s="4"/>
      <c r="O39" s="37"/>
      <c r="P39" s="37"/>
      <c r="Q39" s="37"/>
      <c r="R39" s="37"/>
    </row>
    <row r="49" spans="19:19" x14ac:dyDescent="0.25">
      <c r="S49" s="4"/>
    </row>
    <row r="50" spans="19:19" x14ac:dyDescent="0.25">
      <c r="S50" s="4"/>
    </row>
    <row r="51" spans="19:19" x14ac:dyDescent="0.25">
      <c r="S51" s="4"/>
    </row>
    <row r="52" spans="19:19" x14ac:dyDescent="0.25">
      <c r="S52" s="4"/>
    </row>
    <row r="53" spans="19:19" x14ac:dyDescent="0.25">
      <c r="S53" s="4"/>
    </row>
  </sheetData>
  <mergeCells count="12">
    <mergeCell ref="O33:R33"/>
    <mergeCell ref="O34:R34"/>
    <mergeCell ref="O31:R31"/>
    <mergeCell ref="O32:R32"/>
    <mergeCell ref="S1:S2"/>
    <mergeCell ref="T1:U1"/>
    <mergeCell ref="A29:D29"/>
    <mergeCell ref="O29:R30"/>
    <mergeCell ref="E29:N29"/>
    <mergeCell ref="A1:D1"/>
    <mergeCell ref="E1:R1"/>
    <mergeCell ref="S29:T30"/>
  </mergeCells>
  <pageMargins left="0.7" right="0.7" top="0.75" bottom="0.75" header="0.3" footer="0.3"/>
  <ignoredErrors>
    <ignoredError sqref="B3:B15 B31:B34 C15 B16:B19 C16:C19 B20:B21 B22:B27" numberStoredAsText="1"/>
    <ignoredError sqref="D31:D34 D3:D22 D23:D27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36"/>
  <sheetViews>
    <sheetView workbookViewId="0">
      <selection activeCell="A21" sqref="A21:XFD24"/>
    </sheetView>
  </sheetViews>
  <sheetFormatPr defaultColWidth="11.42578125" defaultRowHeight="15" x14ac:dyDescent="0.25"/>
  <cols>
    <col min="1" max="1" width="21.140625" customWidth="1"/>
    <col min="2" max="2" width="9.42578125" customWidth="1"/>
    <col min="3" max="3" width="9.140625" customWidth="1"/>
    <col min="4" max="4" width="9.85546875" customWidth="1"/>
    <col min="5" max="5" width="4.28515625" customWidth="1"/>
    <col min="6" max="6" width="5.140625" customWidth="1"/>
    <col min="7" max="7" width="4" customWidth="1"/>
    <col min="8" max="8" width="5.5703125" customWidth="1"/>
    <col min="9" max="9" width="4.42578125" customWidth="1"/>
    <col min="10" max="10" width="6.140625" customWidth="1"/>
    <col min="11" max="11" width="4.85546875" customWidth="1"/>
    <col min="12" max="12" width="5.7109375" customWidth="1"/>
    <col min="13" max="13" width="4.7109375" customWidth="1"/>
    <col min="14" max="14" width="5.5703125" customWidth="1"/>
    <col min="15" max="15" width="5.140625" customWidth="1"/>
    <col min="16" max="16" width="6.28515625" customWidth="1"/>
    <col min="17" max="17" width="4.28515625" customWidth="1"/>
    <col min="18" max="18" width="5.42578125" customWidth="1"/>
    <col min="19" max="19" width="17.140625" customWidth="1"/>
    <col min="20" max="20" width="12" customWidth="1"/>
    <col min="21" max="21" width="11.7109375" customWidth="1"/>
  </cols>
  <sheetData>
    <row r="1" spans="1:21" ht="18.75" x14ac:dyDescent="0.25">
      <c r="A1" s="63" t="s">
        <v>162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66"/>
      <c r="T2" s="22" t="s">
        <v>9</v>
      </c>
      <c r="U2" s="22" t="s">
        <v>10</v>
      </c>
    </row>
    <row r="3" spans="1:21" x14ac:dyDescent="0.25">
      <c r="A3" s="1" t="s">
        <v>174</v>
      </c>
      <c r="B3" s="33" t="s">
        <v>163</v>
      </c>
      <c r="C3" s="2">
        <v>9213</v>
      </c>
      <c r="D3" s="34">
        <f>SUM(E3:R3)</f>
        <v>24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1</v>
      </c>
      <c r="M3" s="2">
        <v>2</v>
      </c>
      <c r="N3" s="2">
        <v>1</v>
      </c>
      <c r="O3" s="2">
        <v>2</v>
      </c>
      <c r="P3" s="2">
        <v>1</v>
      </c>
      <c r="Q3" s="2">
        <v>2</v>
      </c>
      <c r="R3" s="2">
        <v>1</v>
      </c>
      <c r="S3" s="3">
        <v>46099</v>
      </c>
      <c r="T3" s="79" t="s">
        <v>53</v>
      </c>
      <c r="U3" s="78"/>
    </row>
    <row r="4" spans="1:21" x14ac:dyDescent="0.25">
      <c r="A4" s="1" t="s">
        <v>174</v>
      </c>
      <c r="B4" s="33" t="s">
        <v>164</v>
      </c>
      <c r="C4" s="2">
        <v>9213</v>
      </c>
      <c r="D4" s="34">
        <f t="shared" ref="D4:D27" si="0">SUM(E4:R4)</f>
        <v>24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1</v>
      </c>
      <c r="M4" s="2">
        <v>2</v>
      </c>
      <c r="N4" s="2">
        <v>1</v>
      </c>
      <c r="O4" s="2">
        <v>2</v>
      </c>
      <c r="P4" s="2">
        <v>1</v>
      </c>
      <c r="Q4" s="2">
        <v>2</v>
      </c>
      <c r="R4" s="2">
        <v>1</v>
      </c>
      <c r="S4" s="3">
        <v>46099</v>
      </c>
      <c r="T4" s="79" t="s">
        <v>53</v>
      </c>
      <c r="U4" s="78"/>
    </row>
    <row r="5" spans="1:21" x14ac:dyDescent="0.25">
      <c r="A5" s="1" t="s">
        <v>174</v>
      </c>
      <c r="B5" s="33" t="s">
        <v>165</v>
      </c>
      <c r="C5" s="2">
        <v>9213</v>
      </c>
      <c r="D5" s="34">
        <f t="shared" si="0"/>
        <v>24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1</v>
      </c>
      <c r="M5" s="2">
        <v>2</v>
      </c>
      <c r="N5" s="2">
        <v>1</v>
      </c>
      <c r="O5" s="2">
        <v>2</v>
      </c>
      <c r="P5" s="2">
        <v>1</v>
      </c>
      <c r="Q5" s="2">
        <v>2</v>
      </c>
      <c r="R5" s="2">
        <v>1</v>
      </c>
      <c r="S5" s="3">
        <v>46099</v>
      </c>
      <c r="T5" s="79" t="s">
        <v>53</v>
      </c>
      <c r="U5" s="78"/>
    </row>
    <row r="6" spans="1:21" x14ac:dyDescent="0.25">
      <c r="A6" s="1" t="s">
        <v>45</v>
      </c>
      <c r="B6" s="33" t="s">
        <v>166</v>
      </c>
      <c r="C6" s="2">
        <v>9231</v>
      </c>
      <c r="D6" s="34">
        <f t="shared" si="0"/>
        <v>48</v>
      </c>
      <c r="E6" s="2">
        <v>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v>4</v>
      </c>
      <c r="L6" s="2">
        <v>2</v>
      </c>
      <c r="M6" s="2">
        <v>4</v>
      </c>
      <c r="N6" s="2">
        <v>2</v>
      </c>
      <c r="O6" s="2">
        <v>4</v>
      </c>
      <c r="P6" s="2">
        <v>2</v>
      </c>
      <c r="Q6" s="2">
        <v>4</v>
      </c>
      <c r="R6" s="2">
        <v>2</v>
      </c>
      <c r="S6" s="3">
        <v>46099</v>
      </c>
      <c r="T6" s="2" t="s">
        <v>25</v>
      </c>
      <c r="U6" s="2" t="s">
        <v>25</v>
      </c>
    </row>
    <row r="7" spans="1:21" x14ac:dyDescent="0.25">
      <c r="A7" s="1" t="s">
        <v>45</v>
      </c>
      <c r="B7" s="33" t="s">
        <v>167</v>
      </c>
      <c r="C7" s="2">
        <v>9231</v>
      </c>
      <c r="D7" s="34">
        <f t="shared" si="0"/>
        <v>48</v>
      </c>
      <c r="E7" s="2">
        <v>4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2</v>
      </c>
      <c r="M7" s="2">
        <v>4</v>
      </c>
      <c r="N7" s="2">
        <v>2</v>
      </c>
      <c r="O7" s="2">
        <v>4</v>
      </c>
      <c r="P7" s="2">
        <v>2</v>
      </c>
      <c r="Q7" s="2">
        <v>4</v>
      </c>
      <c r="R7" s="2">
        <v>2</v>
      </c>
      <c r="S7" s="3">
        <v>46099</v>
      </c>
      <c r="T7" s="2" t="s">
        <v>25</v>
      </c>
      <c r="U7" s="2" t="s">
        <v>25</v>
      </c>
    </row>
    <row r="8" spans="1:21" x14ac:dyDescent="0.25">
      <c r="A8" s="1" t="s">
        <v>175</v>
      </c>
      <c r="B8" s="33" t="s">
        <v>168</v>
      </c>
      <c r="C8" s="2">
        <v>9213</v>
      </c>
      <c r="D8" s="34">
        <f t="shared" si="0"/>
        <v>24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2</v>
      </c>
      <c r="K8" s="2">
        <v>2</v>
      </c>
      <c r="L8" s="2">
        <v>1</v>
      </c>
      <c r="M8" s="2">
        <v>2</v>
      </c>
      <c r="N8" s="2">
        <v>1</v>
      </c>
      <c r="O8" s="2">
        <v>2</v>
      </c>
      <c r="P8" s="2">
        <v>1</v>
      </c>
      <c r="Q8" s="2">
        <v>2</v>
      </c>
      <c r="R8" s="2">
        <v>1</v>
      </c>
      <c r="S8" s="3">
        <v>46099</v>
      </c>
      <c r="T8" s="79" t="s">
        <v>53</v>
      </c>
      <c r="U8" s="78"/>
    </row>
    <row r="9" spans="1:21" x14ac:dyDescent="0.25">
      <c r="A9" s="1" t="s">
        <v>175</v>
      </c>
      <c r="B9" s="33" t="s">
        <v>169</v>
      </c>
      <c r="C9" s="2">
        <v>9213</v>
      </c>
      <c r="D9" s="34">
        <f t="shared" si="0"/>
        <v>24</v>
      </c>
      <c r="E9" s="2">
        <v>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2</v>
      </c>
      <c r="L9" s="2">
        <v>1</v>
      </c>
      <c r="M9" s="2">
        <v>2</v>
      </c>
      <c r="N9" s="2">
        <v>1</v>
      </c>
      <c r="O9" s="2">
        <v>2</v>
      </c>
      <c r="P9" s="2">
        <v>1</v>
      </c>
      <c r="Q9" s="2">
        <v>2</v>
      </c>
      <c r="R9" s="2">
        <v>1</v>
      </c>
      <c r="S9" s="3">
        <v>46099</v>
      </c>
      <c r="T9" s="79" t="s">
        <v>53</v>
      </c>
      <c r="U9" s="78"/>
    </row>
    <row r="10" spans="1:21" x14ac:dyDescent="0.25">
      <c r="A10" s="1" t="s">
        <v>175</v>
      </c>
      <c r="B10" s="33" t="s">
        <v>170</v>
      </c>
      <c r="C10" s="2">
        <v>9213</v>
      </c>
      <c r="D10" s="34">
        <f t="shared" si="0"/>
        <v>24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1</v>
      </c>
      <c r="M10" s="2">
        <v>2</v>
      </c>
      <c r="N10" s="2">
        <v>1</v>
      </c>
      <c r="O10" s="2">
        <v>2</v>
      </c>
      <c r="P10" s="2">
        <v>1</v>
      </c>
      <c r="Q10" s="2">
        <v>2</v>
      </c>
      <c r="R10" s="2">
        <v>1</v>
      </c>
      <c r="S10" s="3">
        <v>46099</v>
      </c>
      <c r="T10" s="79" t="s">
        <v>53</v>
      </c>
      <c r="U10" s="78"/>
    </row>
    <row r="11" spans="1:21" x14ac:dyDescent="0.25">
      <c r="A11" s="1" t="s">
        <v>176</v>
      </c>
      <c r="B11" s="33" t="s">
        <v>171</v>
      </c>
      <c r="C11" s="2">
        <v>9213</v>
      </c>
      <c r="D11" s="34">
        <f t="shared" si="0"/>
        <v>24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1</v>
      </c>
      <c r="M11" s="2">
        <v>2</v>
      </c>
      <c r="N11" s="2">
        <v>1</v>
      </c>
      <c r="O11" s="2">
        <v>2</v>
      </c>
      <c r="P11" s="2">
        <v>1</v>
      </c>
      <c r="Q11" s="2">
        <v>2</v>
      </c>
      <c r="R11" s="2">
        <v>1</v>
      </c>
      <c r="S11" s="3">
        <v>46099</v>
      </c>
      <c r="T11" s="79" t="s">
        <v>25</v>
      </c>
      <c r="U11" s="78"/>
    </row>
    <row r="12" spans="1:21" x14ac:dyDescent="0.25">
      <c r="A12" s="1" t="s">
        <v>176</v>
      </c>
      <c r="B12" s="33" t="s">
        <v>172</v>
      </c>
      <c r="C12" s="2">
        <v>9213</v>
      </c>
      <c r="D12" s="34">
        <f t="shared" si="0"/>
        <v>24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1</v>
      </c>
      <c r="M12" s="2">
        <v>2</v>
      </c>
      <c r="N12" s="2">
        <v>1</v>
      </c>
      <c r="O12" s="2">
        <v>2</v>
      </c>
      <c r="P12" s="2">
        <v>1</v>
      </c>
      <c r="Q12" s="2">
        <v>2</v>
      </c>
      <c r="R12" s="2">
        <v>1</v>
      </c>
      <c r="S12" s="3">
        <v>46099</v>
      </c>
      <c r="T12" s="79" t="s">
        <v>25</v>
      </c>
      <c r="U12" s="78"/>
    </row>
    <row r="13" spans="1:21" x14ac:dyDescent="0.25">
      <c r="A13" s="1" t="s">
        <v>176</v>
      </c>
      <c r="B13" s="33" t="s">
        <v>173</v>
      </c>
      <c r="C13" s="2">
        <v>9213</v>
      </c>
      <c r="D13" s="34">
        <f t="shared" si="0"/>
        <v>24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2">
        <v>1</v>
      </c>
      <c r="M13" s="2">
        <v>2</v>
      </c>
      <c r="N13" s="2">
        <v>1</v>
      </c>
      <c r="O13" s="2">
        <v>2</v>
      </c>
      <c r="P13" s="2">
        <v>1</v>
      </c>
      <c r="Q13" s="2">
        <v>2</v>
      </c>
      <c r="R13" s="2">
        <v>1</v>
      </c>
      <c r="S13" s="3">
        <v>46099</v>
      </c>
      <c r="T13" s="79" t="s">
        <v>25</v>
      </c>
      <c r="U13" s="78"/>
    </row>
    <row r="14" spans="1:21" x14ac:dyDescent="0.25">
      <c r="A14" s="1" t="s">
        <v>177</v>
      </c>
      <c r="B14" s="33" t="s">
        <v>178</v>
      </c>
      <c r="C14" s="2">
        <v>9213</v>
      </c>
      <c r="D14" s="34">
        <f t="shared" si="0"/>
        <v>15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/>
      <c r="Q14" s="2">
        <v>2</v>
      </c>
      <c r="R14" s="2">
        <v>2</v>
      </c>
      <c r="S14" s="3">
        <v>46099</v>
      </c>
      <c r="T14" s="10" t="s">
        <v>53</v>
      </c>
      <c r="U14" s="10" t="s">
        <v>53</v>
      </c>
    </row>
    <row r="15" spans="1:21" x14ac:dyDescent="0.25">
      <c r="A15" s="1" t="s">
        <v>177</v>
      </c>
      <c r="B15" s="33" t="s">
        <v>179</v>
      </c>
      <c r="C15" s="2">
        <v>9233</v>
      </c>
      <c r="D15" s="34">
        <f t="shared" si="0"/>
        <v>14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3">
        <v>46099</v>
      </c>
      <c r="T15" s="10" t="s">
        <v>25</v>
      </c>
      <c r="U15" s="10"/>
    </row>
    <row r="16" spans="1:21" x14ac:dyDescent="0.25">
      <c r="A16" s="1" t="s">
        <v>177</v>
      </c>
      <c r="B16" s="33" t="s">
        <v>180</v>
      </c>
      <c r="C16" s="2">
        <v>9237</v>
      </c>
      <c r="D16" s="34">
        <f t="shared" si="0"/>
        <v>14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3">
        <v>46099</v>
      </c>
      <c r="T16" s="10" t="s">
        <v>53</v>
      </c>
      <c r="U16" s="10" t="s">
        <v>53</v>
      </c>
    </row>
    <row r="17" spans="1:21" x14ac:dyDescent="0.25">
      <c r="A17" s="1" t="s">
        <v>177</v>
      </c>
      <c r="B17" s="33" t="s">
        <v>181</v>
      </c>
      <c r="C17" s="2">
        <v>9202</v>
      </c>
      <c r="D17" s="34">
        <f t="shared" si="0"/>
        <v>14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3">
        <v>46099</v>
      </c>
      <c r="T17" s="10" t="s">
        <v>53</v>
      </c>
      <c r="U17" s="10" t="s">
        <v>53</v>
      </c>
    </row>
    <row r="18" spans="1:21" x14ac:dyDescent="0.25">
      <c r="A18" s="1" t="s">
        <v>177</v>
      </c>
      <c r="B18" s="33" t="s">
        <v>182</v>
      </c>
      <c r="C18" s="2" t="s">
        <v>30</v>
      </c>
      <c r="D18" s="34">
        <f t="shared" si="0"/>
        <v>14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3">
        <v>46099</v>
      </c>
      <c r="T18" s="10" t="s">
        <v>25</v>
      </c>
      <c r="U18" s="10"/>
    </row>
    <row r="19" spans="1:21" x14ac:dyDescent="0.25">
      <c r="A19" s="1" t="s">
        <v>177</v>
      </c>
      <c r="B19" s="33" t="s">
        <v>183</v>
      </c>
      <c r="C19" s="2">
        <v>9208</v>
      </c>
      <c r="D19" s="34">
        <f t="shared" si="0"/>
        <v>14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3">
        <v>46099</v>
      </c>
      <c r="T19" s="2"/>
      <c r="U19" s="2"/>
    </row>
    <row r="20" spans="1:21" x14ac:dyDescent="0.25">
      <c r="A20" s="1" t="s">
        <v>177</v>
      </c>
      <c r="B20" s="33" t="s">
        <v>184</v>
      </c>
      <c r="C20" s="10">
        <v>9231</v>
      </c>
      <c r="D20" s="34">
        <f t="shared" si="0"/>
        <v>14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3">
        <v>46099</v>
      </c>
      <c r="T20" s="2" t="s">
        <v>25</v>
      </c>
      <c r="U20" s="2"/>
    </row>
    <row r="21" spans="1:21" x14ac:dyDescent="0.25">
      <c r="A21" s="1" t="s">
        <v>34</v>
      </c>
      <c r="B21" s="33" t="s">
        <v>185</v>
      </c>
      <c r="C21" s="10">
        <v>9231</v>
      </c>
      <c r="D21" s="34">
        <f t="shared" si="0"/>
        <v>24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1</v>
      </c>
      <c r="M21" s="2">
        <v>2</v>
      </c>
      <c r="N21" s="2">
        <v>1</v>
      </c>
      <c r="O21" s="2">
        <v>2</v>
      </c>
      <c r="P21" s="2">
        <v>1</v>
      </c>
      <c r="Q21" s="2">
        <v>2</v>
      </c>
      <c r="R21" s="2">
        <v>1</v>
      </c>
      <c r="S21" s="3">
        <v>46099</v>
      </c>
      <c r="T21" s="2" t="s">
        <v>25</v>
      </c>
      <c r="U21" s="2"/>
    </row>
    <row r="22" spans="1:21" x14ac:dyDescent="0.25">
      <c r="A22" s="1" t="s">
        <v>34</v>
      </c>
      <c r="B22" s="33" t="s">
        <v>186</v>
      </c>
      <c r="C22" s="10">
        <v>9231</v>
      </c>
      <c r="D22" s="34">
        <f t="shared" si="0"/>
        <v>24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1</v>
      </c>
      <c r="M22" s="2">
        <v>2</v>
      </c>
      <c r="N22" s="2">
        <v>1</v>
      </c>
      <c r="O22" s="2">
        <v>2</v>
      </c>
      <c r="P22" s="2">
        <v>1</v>
      </c>
      <c r="Q22" s="2">
        <v>2</v>
      </c>
      <c r="R22" s="2">
        <v>1</v>
      </c>
      <c r="S22" s="3">
        <v>46099</v>
      </c>
      <c r="T22" s="2" t="s">
        <v>25</v>
      </c>
      <c r="U22" s="2"/>
    </row>
    <row r="23" spans="1:21" x14ac:dyDescent="0.25">
      <c r="A23" s="1" t="s">
        <v>34</v>
      </c>
      <c r="B23" s="33" t="s">
        <v>187</v>
      </c>
      <c r="C23" s="10">
        <v>9232</v>
      </c>
      <c r="D23" s="34">
        <f t="shared" si="0"/>
        <v>24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1</v>
      </c>
      <c r="M23" s="2">
        <v>2</v>
      </c>
      <c r="N23" s="2">
        <v>1</v>
      </c>
      <c r="O23" s="2">
        <v>2</v>
      </c>
      <c r="P23" s="2">
        <v>1</v>
      </c>
      <c r="Q23" s="2">
        <v>2</v>
      </c>
      <c r="R23" s="2">
        <v>1</v>
      </c>
      <c r="S23" s="3">
        <v>46099</v>
      </c>
      <c r="T23" s="2"/>
      <c r="U23" s="2"/>
    </row>
    <row r="24" spans="1:21" x14ac:dyDescent="0.25">
      <c r="A24" s="1" t="s">
        <v>34</v>
      </c>
      <c r="B24" s="33" t="s">
        <v>188</v>
      </c>
      <c r="C24" s="10">
        <v>9232</v>
      </c>
      <c r="D24" s="34">
        <f t="shared" si="0"/>
        <v>24</v>
      </c>
      <c r="E24" s="2">
        <v>2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>
        <v>2</v>
      </c>
      <c r="L24" s="2">
        <v>1</v>
      </c>
      <c r="M24" s="2">
        <v>2</v>
      </c>
      <c r="N24" s="2">
        <v>1</v>
      </c>
      <c r="O24" s="2">
        <v>2</v>
      </c>
      <c r="P24" s="2">
        <v>1</v>
      </c>
      <c r="Q24" s="2">
        <v>2</v>
      </c>
      <c r="R24" s="2">
        <v>1</v>
      </c>
      <c r="S24" s="3">
        <v>46099</v>
      </c>
      <c r="T24" s="2" t="s">
        <v>25</v>
      </c>
      <c r="U24" s="2" t="s">
        <v>25</v>
      </c>
    </row>
    <row r="25" spans="1:21" x14ac:dyDescent="0.25">
      <c r="A25" s="1" t="s">
        <v>192</v>
      </c>
      <c r="B25" s="33" t="s">
        <v>189</v>
      </c>
      <c r="C25" s="10">
        <v>9201</v>
      </c>
      <c r="D25" s="34">
        <f t="shared" si="0"/>
        <v>12</v>
      </c>
      <c r="E25" s="2"/>
      <c r="F25" s="2"/>
      <c r="G25" s="2"/>
      <c r="H25" s="2"/>
      <c r="I25" s="2"/>
      <c r="J25" s="2"/>
      <c r="K25" s="2">
        <v>1</v>
      </c>
      <c r="L25" s="2">
        <v>1</v>
      </c>
      <c r="M25" s="2">
        <v>2</v>
      </c>
      <c r="N25" s="2">
        <v>1</v>
      </c>
      <c r="O25" s="2">
        <v>2</v>
      </c>
      <c r="P25" s="2">
        <v>1</v>
      </c>
      <c r="Q25" s="2">
        <v>2</v>
      </c>
      <c r="R25" s="2">
        <v>2</v>
      </c>
      <c r="S25" s="3">
        <v>46099</v>
      </c>
      <c r="T25" s="2" t="s">
        <v>53</v>
      </c>
      <c r="U25" s="2" t="s">
        <v>53</v>
      </c>
    </row>
    <row r="26" spans="1:21" x14ac:dyDescent="0.25">
      <c r="A26" s="1" t="s">
        <v>192</v>
      </c>
      <c r="B26" s="33" t="s">
        <v>190</v>
      </c>
      <c r="C26" s="10">
        <v>9211</v>
      </c>
      <c r="D26" s="34">
        <f t="shared" si="0"/>
        <v>12</v>
      </c>
      <c r="E26" s="2"/>
      <c r="F26" s="2"/>
      <c r="G26" s="2"/>
      <c r="H26" s="2"/>
      <c r="I26" s="2"/>
      <c r="J26" s="2"/>
      <c r="K26" s="2">
        <v>1</v>
      </c>
      <c r="L26" s="2">
        <v>1</v>
      </c>
      <c r="M26" s="2">
        <v>2</v>
      </c>
      <c r="N26" s="2">
        <v>1</v>
      </c>
      <c r="O26" s="2">
        <v>2</v>
      </c>
      <c r="P26" s="2">
        <v>1</v>
      </c>
      <c r="Q26" s="2">
        <v>2</v>
      </c>
      <c r="R26" s="2">
        <v>2</v>
      </c>
      <c r="S26" s="3">
        <v>46099</v>
      </c>
      <c r="T26" s="2" t="s">
        <v>53</v>
      </c>
      <c r="U26" s="2" t="s">
        <v>53</v>
      </c>
    </row>
    <row r="27" spans="1:21" x14ac:dyDescent="0.25">
      <c r="A27" s="1" t="s">
        <v>192</v>
      </c>
      <c r="B27" s="33" t="s">
        <v>191</v>
      </c>
      <c r="C27" s="10">
        <v>9232</v>
      </c>
      <c r="D27" s="34">
        <f t="shared" si="0"/>
        <v>12</v>
      </c>
      <c r="E27" s="2"/>
      <c r="F27" s="2"/>
      <c r="G27" s="2"/>
      <c r="H27" s="2"/>
      <c r="I27" s="2"/>
      <c r="J27" s="2"/>
      <c r="K27" s="2">
        <v>1</v>
      </c>
      <c r="L27" s="2">
        <v>1</v>
      </c>
      <c r="M27" s="2">
        <v>2</v>
      </c>
      <c r="N27" s="2">
        <v>1</v>
      </c>
      <c r="O27" s="2">
        <v>2</v>
      </c>
      <c r="P27" s="2">
        <v>1</v>
      </c>
      <c r="Q27" s="2">
        <v>2</v>
      </c>
      <c r="R27" s="2">
        <v>2</v>
      </c>
      <c r="S27" s="3">
        <v>46099</v>
      </c>
      <c r="T27" s="2" t="s">
        <v>53</v>
      </c>
      <c r="U27" s="2" t="s">
        <v>53</v>
      </c>
    </row>
    <row r="31" spans="1:21" ht="15" customHeight="1" x14ac:dyDescent="0.25"/>
    <row r="32" spans="1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13">
    <mergeCell ref="A1:D1"/>
    <mergeCell ref="E1:R1"/>
    <mergeCell ref="S1:S2"/>
    <mergeCell ref="T1:U1"/>
    <mergeCell ref="T3:U3"/>
    <mergeCell ref="T11:U11"/>
    <mergeCell ref="T12:U12"/>
    <mergeCell ref="T13:U13"/>
    <mergeCell ref="T4:U4"/>
    <mergeCell ref="T5:U5"/>
    <mergeCell ref="T8:U8"/>
    <mergeCell ref="T9:U9"/>
    <mergeCell ref="T10:U10"/>
  </mergeCells>
  <pageMargins left="0.7" right="0.7" top="0.75" bottom="0.75" header="0.3" footer="0.3"/>
  <pageSetup paperSize="256" orientation="portrait" horizontalDpi="203" verticalDpi="203" r:id="rId1"/>
  <ignoredErrors>
    <ignoredError sqref="B3:B5 B6:C7 B8:B13 B14:B20 B21:B27" numberStoredAsText="1"/>
    <ignoredError sqref="D3:D5 D8:D13 D14:D20 D21:D27" formulaRange="1"/>
    <ignoredError sqref="D6:D7" numberStoredAsText="1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111"/>
  <sheetViews>
    <sheetView workbookViewId="0">
      <selection activeCell="A10" sqref="A10:XFD16"/>
    </sheetView>
  </sheetViews>
  <sheetFormatPr defaultColWidth="11.42578125" defaultRowHeight="15" x14ac:dyDescent="0.25"/>
  <cols>
    <col min="1" max="1" width="30.42578125" customWidth="1"/>
    <col min="2" max="2" width="9.140625" customWidth="1"/>
    <col min="4" max="4" width="9.5703125" customWidth="1"/>
    <col min="5" max="5" width="4.7109375" customWidth="1"/>
    <col min="6" max="6" width="5.140625" customWidth="1"/>
    <col min="7" max="7" width="4.7109375" customWidth="1"/>
    <col min="8" max="8" width="5.28515625" customWidth="1"/>
    <col min="9" max="9" width="4.7109375" customWidth="1"/>
    <col min="10" max="10" width="5.28515625" customWidth="1"/>
    <col min="11" max="11" width="4.7109375" customWidth="1"/>
    <col min="12" max="12" width="5.28515625" customWidth="1"/>
    <col min="13" max="13" width="4.7109375" customWidth="1"/>
    <col min="14" max="14" width="5.5703125" customWidth="1"/>
    <col min="15" max="15" width="4.7109375" customWidth="1"/>
    <col min="16" max="16" width="5.5703125" customWidth="1"/>
    <col min="17" max="17" width="4.85546875" customWidth="1"/>
    <col min="18" max="18" width="5.7109375" customWidth="1"/>
    <col min="19" max="19" width="18.28515625" customWidth="1"/>
    <col min="20" max="20" width="12.28515625" customWidth="1"/>
    <col min="21" max="21" width="12.85546875" customWidth="1"/>
  </cols>
  <sheetData>
    <row r="1" spans="1:21" ht="18.75" x14ac:dyDescent="0.25">
      <c r="A1" s="63" t="s">
        <v>193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 t="s">
        <v>5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66"/>
      <c r="T2" s="22" t="s">
        <v>9</v>
      </c>
      <c r="U2" s="22" t="s">
        <v>10</v>
      </c>
    </row>
    <row r="3" spans="1:21" x14ac:dyDescent="0.25">
      <c r="A3" s="1" t="s">
        <v>194</v>
      </c>
      <c r="B3" s="33" t="s">
        <v>195</v>
      </c>
      <c r="C3" s="2">
        <v>3000</v>
      </c>
      <c r="D3" s="34">
        <f>SUM(E3:R3)</f>
        <v>49</v>
      </c>
      <c r="E3" s="2">
        <v>4</v>
      </c>
      <c r="F3" s="2">
        <v>3</v>
      </c>
      <c r="G3" s="2">
        <v>4</v>
      </c>
      <c r="H3" s="2">
        <v>3</v>
      </c>
      <c r="I3" s="2">
        <v>4</v>
      </c>
      <c r="J3" s="2">
        <v>3</v>
      </c>
      <c r="K3" s="2">
        <v>4</v>
      </c>
      <c r="L3" s="2">
        <v>3</v>
      </c>
      <c r="M3" s="2">
        <v>4</v>
      </c>
      <c r="N3" s="2">
        <v>3</v>
      </c>
      <c r="O3" s="2">
        <v>4</v>
      </c>
      <c r="P3" s="2">
        <v>3</v>
      </c>
      <c r="Q3" s="2">
        <v>4</v>
      </c>
      <c r="R3" s="2">
        <v>3</v>
      </c>
      <c r="S3" s="3">
        <v>46104</v>
      </c>
      <c r="T3" s="2"/>
      <c r="U3" s="2"/>
    </row>
    <row r="4" spans="1:21" x14ac:dyDescent="0.25">
      <c r="A4" s="1" t="s">
        <v>194</v>
      </c>
      <c r="B4" s="33" t="s">
        <v>196</v>
      </c>
      <c r="C4" s="2">
        <v>3001</v>
      </c>
      <c r="D4" s="34">
        <f t="shared" ref="D4:D18" si="0">SUM(E4:R4)</f>
        <v>49</v>
      </c>
      <c r="E4" s="2">
        <v>4</v>
      </c>
      <c r="F4" s="2">
        <v>3</v>
      </c>
      <c r="G4" s="2">
        <v>4</v>
      </c>
      <c r="H4" s="2">
        <v>3</v>
      </c>
      <c r="I4" s="2">
        <v>4</v>
      </c>
      <c r="J4" s="2">
        <v>3</v>
      </c>
      <c r="K4" s="2">
        <v>4</v>
      </c>
      <c r="L4" s="2">
        <v>3</v>
      </c>
      <c r="M4" s="2">
        <v>4</v>
      </c>
      <c r="N4" s="2">
        <v>3</v>
      </c>
      <c r="O4" s="2">
        <v>4</v>
      </c>
      <c r="P4" s="2">
        <v>3</v>
      </c>
      <c r="Q4" s="2">
        <v>4</v>
      </c>
      <c r="R4" s="2">
        <v>3</v>
      </c>
      <c r="S4" s="3">
        <v>46104</v>
      </c>
      <c r="T4" s="2"/>
      <c r="U4" s="2"/>
    </row>
    <row r="5" spans="1:21" x14ac:dyDescent="0.25">
      <c r="A5" s="1" t="s">
        <v>194</v>
      </c>
      <c r="B5" s="33" t="s">
        <v>197</v>
      </c>
      <c r="C5" s="2">
        <v>3000</v>
      </c>
      <c r="D5" s="34">
        <f t="shared" si="0"/>
        <v>49</v>
      </c>
      <c r="E5" s="2">
        <v>4</v>
      </c>
      <c r="F5" s="2">
        <v>3</v>
      </c>
      <c r="G5" s="2">
        <v>4</v>
      </c>
      <c r="H5" s="2">
        <v>3</v>
      </c>
      <c r="I5" s="2">
        <v>4</v>
      </c>
      <c r="J5" s="2">
        <v>3</v>
      </c>
      <c r="K5" s="2">
        <v>4</v>
      </c>
      <c r="L5" s="2">
        <v>3</v>
      </c>
      <c r="M5" s="2">
        <v>4</v>
      </c>
      <c r="N5" s="2">
        <v>3</v>
      </c>
      <c r="O5" s="2">
        <v>4</v>
      </c>
      <c r="P5" s="2">
        <v>3</v>
      </c>
      <c r="Q5" s="2">
        <v>4</v>
      </c>
      <c r="R5" s="2">
        <v>3</v>
      </c>
      <c r="S5" s="3">
        <v>46104</v>
      </c>
      <c r="T5" s="2"/>
      <c r="U5" s="2"/>
    </row>
    <row r="6" spans="1:21" x14ac:dyDescent="0.25">
      <c r="A6" s="1" t="s">
        <v>198</v>
      </c>
      <c r="B6" s="33" t="s">
        <v>199</v>
      </c>
      <c r="C6" s="2">
        <v>9218</v>
      </c>
      <c r="D6" s="34">
        <f t="shared" si="0"/>
        <v>51</v>
      </c>
      <c r="E6" s="2">
        <v>3</v>
      </c>
      <c r="F6" s="2">
        <v>3</v>
      </c>
      <c r="G6" s="2">
        <v>5</v>
      </c>
      <c r="H6" s="2">
        <v>3</v>
      </c>
      <c r="I6" s="2">
        <v>5</v>
      </c>
      <c r="J6" s="2">
        <v>3</v>
      </c>
      <c r="K6" s="2">
        <v>5</v>
      </c>
      <c r="L6" s="2">
        <v>3</v>
      </c>
      <c r="M6" s="2">
        <v>5</v>
      </c>
      <c r="N6" s="2">
        <v>3</v>
      </c>
      <c r="O6" s="2">
        <v>5</v>
      </c>
      <c r="P6" s="2">
        <v>3</v>
      </c>
      <c r="Q6" s="2">
        <v>5</v>
      </c>
      <c r="R6" s="2"/>
      <c r="S6" s="3">
        <v>46104</v>
      </c>
      <c r="T6" s="2"/>
      <c r="U6" s="2"/>
    </row>
    <row r="7" spans="1:21" x14ac:dyDescent="0.25">
      <c r="A7" s="1" t="s">
        <v>198</v>
      </c>
      <c r="B7" s="33" t="s">
        <v>200</v>
      </c>
      <c r="C7" s="2">
        <v>2601</v>
      </c>
      <c r="D7" s="34">
        <f t="shared" si="0"/>
        <v>51</v>
      </c>
      <c r="E7" s="2">
        <v>3</v>
      </c>
      <c r="F7" s="2">
        <v>3</v>
      </c>
      <c r="G7" s="2">
        <v>5</v>
      </c>
      <c r="H7" s="2">
        <v>3</v>
      </c>
      <c r="I7" s="2">
        <v>5</v>
      </c>
      <c r="J7" s="2">
        <v>3</v>
      </c>
      <c r="K7" s="2">
        <v>5</v>
      </c>
      <c r="L7" s="2">
        <v>3</v>
      </c>
      <c r="M7" s="2">
        <v>5</v>
      </c>
      <c r="N7" s="2">
        <v>3</v>
      </c>
      <c r="O7" s="2">
        <v>5</v>
      </c>
      <c r="P7" s="2">
        <v>3</v>
      </c>
      <c r="Q7" s="2">
        <v>5</v>
      </c>
      <c r="R7" s="2"/>
      <c r="S7" s="3">
        <v>46104</v>
      </c>
      <c r="T7" s="2"/>
      <c r="U7" s="2"/>
    </row>
    <row r="8" spans="1:21" x14ac:dyDescent="0.25">
      <c r="A8" s="1" t="s">
        <v>198</v>
      </c>
      <c r="B8" s="33" t="s">
        <v>201</v>
      </c>
      <c r="C8" s="2">
        <v>9276</v>
      </c>
      <c r="D8" s="34">
        <f t="shared" si="0"/>
        <v>51</v>
      </c>
      <c r="E8" s="2">
        <v>3</v>
      </c>
      <c r="F8" s="2">
        <v>3</v>
      </c>
      <c r="G8" s="2">
        <v>5</v>
      </c>
      <c r="H8" s="2">
        <v>3</v>
      </c>
      <c r="I8" s="2">
        <v>5</v>
      </c>
      <c r="J8" s="2">
        <v>3</v>
      </c>
      <c r="K8" s="2">
        <v>5</v>
      </c>
      <c r="L8" s="2">
        <v>3</v>
      </c>
      <c r="M8" s="2">
        <v>5</v>
      </c>
      <c r="N8" s="2">
        <v>3</v>
      </c>
      <c r="O8" s="2">
        <v>5</v>
      </c>
      <c r="P8" s="2">
        <v>3</v>
      </c>
      <c r="Q8" s="2">
        <v>5</v>
      </c>
      <c r="R8" s="2"/>
      <c r="S8" s="3">
        <v>46104</v>
      </c>
      <c r="T8" s="2"/>
      <c r="U8" s="2"/>
    </row>
    <row r="9" spans="1:21" x14ac:dyDescent="0.25">
      <c r="A9" s="1" t="s">
        <v>198</v>
      </c>
      <c r="B9" s="33" t="s">
        <v>202</v>
      </c>
      <c r="C9" s="2">
        <v>9237</v>
      </c>
      <c r="D9" s="34">
        <f t="shared" si="0"/>
        <v>51</v>
      </c>
      <c r="E9" s="2">
        <v>3</v>
      </c>
      <c r="F9" s="2">
        <v>3</v>
      </c>
      <c r="G9" s="2">
        <v>5</v>
      </c>
      <c r="H9" s="2">
        <v>3</v>
      </c>
      <c r="I9" s="2">
        <v>5</v>
      </c>
      <c r="J9" s="2">
        <v>3</v>
      </c>
      <c r="K9" s="2">
        <v>5</v>
      </c>
      <c r="L9" s="2">
        <v>3</v>
      </c>
      <c r="M9" s="2">
        <v>5</v>
      </c>
      <c r="N9" s="2">
        <v>3</v>
      </c>
      <c r="O9" s="2">
        <v>5</v>
      </c>
      <c r="P9" s="2">
        <v>3</v>
      </c>
      <c r="Q9" s="2">
        <v>5</v>
      </c>
      <c r="R9" s="2"/>
      <c r="S9" s="3">
        <v>46104</v>
      </c>
      <c r="T9" s="2"/>
      <c r="U9" s="2"/>
    </row>
    <row r="10" spans="1:21" x14ac:dyDescent="0.25">
      <c r="A10" s="1" t="s">
        <v>211</v>
      </c>
      <c r="B10" s="33" t="s">
        <v>204</v>
      </c>
      <c r="C10" s="2">
        <v>9271</v>
      </c>
      <c r="D10" s="34">
        <f t="shared" si="0"/>
        <v>14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3">
        <v>46104</v>
      </c>
      <c r="T10" s="2" t="s">
        <v>25</v>
      </c>
      <c r="U10" s="2" t="s">
        <v>25</v>
      </c>
    </row>
    <row r="11" spans="1:21" x14ac:dyDescent="0.25">
      <c r="A11" s="1" t="s">
        <v>203</v>
      </c>
      <c r="B11" s="33" t="s">
        <v>205</v>
      </c>
      <c r="C11" s="2">
        <v>2605</v>
      </c>
      <c r="D11" s="34">
        <f t="shared" si="0"/>
        <v>14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3">
        <v>46104</v>
      </c>
      <c r="T11" s="2"/>
      <c r="U11" s="2"/>
    </row>
    <row r="12" spans="1:21" x14ac:dyDescent="0.25">
      <c r="A12" s="1" t="s">
        <v>203</v>
      </c>
      <c r="B12" s="33" t="s">
        <v>206</v>
      </c>
      <c r="C12" s="2">
        <v>9266</v>
      </c>
      <c r="D12" s="34">
        <f t="shared" si="0"/>
        <v>14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3">
        <v>46104</v>
      </c>
      <c r="T12" s="2" t="s">
        <v>25</v>
      </c>
      <c r="U12" s="2" t="s">
        <v>25</v>
      </c>
    </row>
    <row r="13" spans="1:21" x14ac:dyDescent="0.25">
      <c r="A13" s="1" t="s">
        <v>203</v>
      </c>
      <c r="B13" s="33" t="s">
        <v>207</v>
      </c>
      <c r="C13" s="2">
        <v>9201</v>
      </c>
      <c r="D13" s="34">
        <f t="shared" si="0"/>
        <v>14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3">
        <v>46104</v>
      </c>
      <c r="T13" s="2" t="s">
        <v>53</v>
      </c>
      <c r="U13" s="2" t="s">
        <v>53</v>
      </c>
    </row>
    <row r="14" spans="1:21" x14ac:dyDescent="0.25">
      <c r="A14" s="1" t="s">
        <v>203</v>
      </c>
      <c r="B14" s="33" t="s">
        <v>208</v>
      </c>
      <c r="C14" s="2">
        <v>9213</v>
      </c>
      <c r="D14" s="34">
        <f t="shared" si="0"/>
        <v>14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3">
        <v>46104</v>
      </c>
      <c r="T14" s="79" t="s">
        <v>53</v>
      </c>
      <c r="U14" s="78"/>
    </row>
    <row r="15" spans="1:21" x14ac:dyDescent="0.25">
      <c r="A15" s="1" t="s">
        <v>203</v>
      </c>
      <c r="B15" s="33" t="s">
        <v>209</v>
      </c>
      <c r="C15" s="2">
        <v>9213</v>
      </c>
      <c r="D15" s="34">
        <f t="shared" si="0"/>
        <v>14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3">
        <v>46104</v>
      </c>
      <c r="T15" s="79" t="s">
        <v>25</v>
      </c>
      <c r="U15" s="78"/>
    </row>
    <row r="16" spans="1:21" x14ac:dyDescent="0.25">
      <c r="A16" s="1" t="s">
        <v>203</v>
      </c>
      <c r="B16" s="33" t="s">
        <v>210</v>
      </c>
      <c r="C16" s="2">
        <v>9213</v>
      </c>
      <c r="D16" s="34">
        <f t="shared" si="0"/>
        <v>14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3">
        <v>46104</v>
      </c>
      <c r="T16" s="79" t="s">
        <v>53</v>
      </c>
      <c r="U16" s="78"/>
    </row>
    <row r="17" spans="1:21" x14ac:dyDescent="0.25">
      <c r="A17" s="1" t="s">
        <v>79</v>
      </c>
      <c r="B17" s="2">
        <v>117</v>
      </c>
      <c r="C17" s="2">
        <v>9240</v>
      </c>
      <c r="D17" s="34">
        <f t="shared" si="0"/>
        <v>120</v>
      </c>
      <c r="E17" s="2">
        <v>16</v>
      </c>
      <c r="F17" s="2"/>
      <c r="G17" s="2">
        <v>21</v>
      </c>
      <c r="H17" s="2"/>
      <c r="I17" s="2">
        <v>23</v>
      </c>
      <c r="J17" s="2"/>
      <c r="K17" s="2">
        <v>14</v>
      </c>
      <c r="L17" s="2"/>
      <c r="M17" s="2">
        <v>19</v>
      </c>
      <c r="N17" s="2"/>
      <c r="O17" s="2">
        <v>8</v>
      </c>
      <c r="P17" s="2"/>
      <c r="Q17" s="2">
        <v>19</v>
      </c>
      <c r="R17" s="2"/>
      <c r="S17" s="3">
        <v>46104</v>
      </c>
      <c r="T17" s="2"/>
      <c r="U17" s="2"/>
    </row>
    <row r="18" spans="1:21" x14ac:dyDescent="0.25">
      <c r="A18" s="1"/>
      <c r="B18" s="2"/>
      <c r="C18" s="2"/>
      <c r="D18" s="34">
        <f t="shared" si="0"/>
        <v>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">
        <v>46104</v>
      </c>
      <c r="T18" s="2"/>
      <c r="U18" s="2"/>
    </row>
    <row r="19" spans="1:21" x14ac:dyDescent="0.25">
      <c r="B19" s="4"/>
      <c r="C19" s="4"/>
      <c r="D19" s="3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B20" s="4"/>
      <c r="C20" s="4"/>
      <c r="D20" s="3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5">
      <c r="B21" s="4"/>
      <c r="C21" s="4"/>
      <c r="D21" s="3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5">
      <c r="B22" s="4"/>
      <c r="C22" s="4"/>
      <c r="D22" s="3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B23" s="4"/>
      <c r="C23" s="4"/>
      <c r="D23" s="3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25">
      <c r="B24" s="4"/>
      <c r="C24" s="4"/>
      <c r="D24" s="3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B25" s="4"/>
      <c r="C25" s="4"/>
      <c r="D25" s="3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25">
      <c r="B26" s="4"/>
      <c r="C26" s="4"/>
      <c r="D26" s="3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B27" s="4"/>
      <c r="C27" s="4"/>
      <c r="D27" s="3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25">
      <c r="B28" s="4"/>
      <c r="C28" s="4"/>
      <c r="D28" s="3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25">
      <c r="B29" s="4"/>
      <c r="C29" s="4"/>
      <c r="D29" s="3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25">
      <c r="B30" s="4"/>
      <c r="C30" s="4"/>
      <c r="D30" s="3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B31" s="4"/>
      <c r="C31" s="4"/>
      <c r="D31" s="3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5">
      <c r="B32" s="4"/>
      <c r="C32" s="4"/>
      <c r="D32" s="3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2:21" x14ac:dyDescent="0.25">
      <c r="B33" s="4"/>
      <c r="C33" s="4"/>
      <c r="D33" s="3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2:21" x14ac:dyDescent="0.25">
      <c r="B34" s="4"/>
      <c r="C34" s="4"/>
      <c r="D34" s="3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2:21" x14ac:dyDescent="0.25">
      <c r="B35" s="4"/>
      <c r="C35" s="4"/>
      <c r="D35" s="3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2:21" x14ac:dyDescent="0.25">
      <c r="B36" s="4"/>
      <c r="C36" s="4"/>
      <c r="D36" s="3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2:21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2:21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2:21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2:2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2:21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2:21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2:2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2:21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2:21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2:21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2:21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2:21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2:21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2:21" x14ac:dyDescent="0.2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2:21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2:21" x14ac:dyDescent="0.2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2:21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2:21" x14ac:dyDescent="0.2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2:21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2:21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2:21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2:21" x14ac:dyDescent="0.2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2:21" x14ac:dyDescent="0.2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2:21" x14ac:dyDescent="0.2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2:21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2:21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2:21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2:21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2:21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2:21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2:21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2:21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2:21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2:21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2:21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2:21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2:21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2:21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2:21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2:21" x14ac:dyDescent="0.2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2:21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2:21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2:21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2:21" x14ac:dyDescent="0.2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2:21" x14ac:dyDescent="0.2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2:21" x14ac:dyDescent="0.2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2:21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2:21" x14ac:dyDescent="0.2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2:21" x14ac:dyDescent="0.2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2:21" x14ac:dyDescent="0.2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2:21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2:21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2:21" x14ac:dyDescent="0.2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2:21" x14ac:dyDescent="0.2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2:21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2:21" x14ac:dyDescent="0.2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2:21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2:21" x14ac:dyDescent="0.2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2:21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2:21" x14ac:dyDescent="0.2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2:21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2:21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2:21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2:21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2:21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2:21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2:21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2:21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2:21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2:21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2:21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2:21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2:21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2:21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2:21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</sheetData>
  <mergeCells count="7">
    <mergeCell ref="T15:U15"/>
    <mergeCell ref="T16:U16"/>
    <mergeCell ref="A1:D1"/>
    <mergeCell ref="E1:R1"/>
    <mergeCell ref="S1:S2"/>
    <mergeCell ref="T1:U1"/>
    <mergeCell ref="T14:U14"/>
  </mergeCells>
  <pageMargins left="0.7" right="0.7" top="0.75" bottom="0.75" header="0.3" footer="0.3"/>
  <ignoredErrors>
    <ignoredError sqref="B3:B5 B6:B9 B10:B16" numberStoredAsText="1"/>
    <ignoredError sqref="D3:D5 D6:D11 D12:D16 D17:D18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48"/>
  <sheetViews>
    <sheetView topLeftCell="A16" workbookViewId="0">
      <selection activeCell="A34" sqref="A34:XFD34"/>
    </sheetView>
  </sheetViews>
  <sheetFormatPr defaultColWidth="11.42578125" defaultRowHeight="15" x14ac:dyDescent="0.25"/>
  <cols>
    <col min="1" max="1" width="23" customWidth="1"/>
    <col min="5" max="5" width="4.7109375" customWidth="1"/>
    <col min="6" max="6" width="5.42578125" customWidth="1"/>
    <col min="7" max="7" width="4.5703125" customWidth="1"/>
    <col min="8" max="8" width="5.140625" customWidth="1"/>
    <col min="9" max="9" width="4.5703125" customWidth="1"/>
    <col min="10" max="10" width="5.28515625" customWidth="1"/>
    <col min="11" max="11" width="4.140625" customWidth="1"/>
    <col min="12" max="12" width="5.42578125" customWidth="1"/>
    <col min="13" max="13" width="4.5703125" customWidth="1"/>
    <col min="14" max="14" width="5.42578125" customWidth="1"/>
    <col min="15" max="15" width="4.140625" customWidth="1"/>
    <col min="16" max="16" width="5.28515625" customWidth="1"/>
    <col min="17" max="17" width="4.140625" customWidth="1"/>
    <col min="18" max="18" width="9" customWidth="1"/>
    <col min="19" max="19" width="14" customWidth="1"/>
    <col min="20" max="20" width="12.42578125" customWidth="1"/>
    <col min="21" max="21" width="12.28515625" customWidth="1"/>
  </cols>
  <sheetData>
    <row r="1" spans="1:21" ht="18.75" x14ac:dyDescent="0.25">
      <c r="A1" s="63" t="s">
        <v>212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213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  <c r="T2" s="22" t="s">
        <v>9</v>
      </c>
      <c r="U2" s="22" t="s">
        <v>10</v>
      </c>
    </row>
    <row r="3" spans="1:21" x14ac:dyDescent="0.25">
      <c r="A3" s="7" t="s">
        <v>74</v>
      </c>
      <c r="B3" s="2">
        <v>120</v>
      </c>
      <c r="C3" s="2">
        <v>9215</v>
      </c>
      <c r="D3" s="34">
        <f>SUM(E3:R3)</f>
        <v>14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3">
        <v>46118</v>
      </c>
      <c r="T3" s="2" t="s">
        <v>25</v>
      </c>
      <c r="U3" s="2"/>
    </row>
    <row r="4" spans="1:21" x14ac:dyDescent="0.25">
      <c r="A4" s="7" t="s">
        <v>74</v>
      </c>
      <c r="B4" s="2">
        <v>121</v>
      </c>
      <c r="C4" s="2">
        <v>9215</v>
      </c>
      <c r="D4" s="34">
        <f t="shared" ref="D4:D36" si="0">SUM(E4:R4)</f>
        <v>28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2</v>
      </c>
      <c r="M4" s="2">
        <v>2</v>
      </c>
      <c r="N4" s="2">
        <v>2</v>
      </c>
      <c r="O4" s="2">
        <v>2</v>
      </c>
      <c r="P4" s="2">
        <v>2</v>
      </c>
      <c r="Q4" s="2">
        <v>2</v>
      </c>
      <c r="R4" s="2">
        <v>2</v>
      </c>
      <c r="S4" s="3">
        <v>46118</v>
      </c>
      <c r="T4" s="2" t="s">
        <v>25</v>
      </c>
      <c r="U4" s="2"/>
    </row>
    <row r="5" spans="1:21" x14ac:dyDescent="0.25">
      <c r="A5" s="7" t="s">
        <v>74</v>
      </c>
      <c r="B5" s="2">
        <v>122</v>
      </c>
      <c r="C5" s="2">
        <v>9215</v>
      </c>
      <c r="D5" s="34">
        <f t="shared" si="0"/>
        <v>14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3">
        <v>46120</v>
      </c>
      <c r="T5" s="2"/>
      <c r="U5" s="2"/>
    </row>
    <row r="6" spans="1:21" x14ac:dyDescent="0.25">
      <c r="A6" s="7" t="s">
        <v>34</v>
      </c>
      <c r="B6" s="2">
        <v>126</v>
      </c>
      <c r="C6" s="2">
        <v>9201</v>
      </c>
      <c r="D6" s="34">
        <f t="shared" si="0"/>
        <v>24</v>
      </c>
      <c r="E6" s="2">
        <v>2</v>
      </c>
      <c r="F6" s="2">
        <v>2</v>
      </c>
      <c r="G6" s="2">
        <v>2</v>
      </c>
      <c r="H6" s="2">
        <v>2</v>
      </c>
      <c r="I6" s="2">
        <v>2</v>
      </c>
      <c r="J6" s="2">
        <v>2</v>
      </c>
      <c r="K6" s="2">
        <v>2</v>
      </c>
      <c r="L6" s="2">
        <v>1</v>
      </c>
      <c r="M6" s="2">
        <v>2</v>
      </c>
      <c r="N6" s="2">
        <v>1</v>
      </c>
      <c r="O6" s="2">
        <v>2</v>
      </c>
      <c r="P6" s="2">
        <v>1</v>
      </c>
      <c r="Q6" s="2">
        <v>2</v>
      </c>
      <c r="R6" s="2">
        <v>1</v>
      </c>
      <c r="S6" s="3">
        <v>46120</v>
      </c>
      <c r="T6" s="2"/>
      <c r="U6" s="2"/>
    </row>
    <row r="7" spans="1:21" x14ac:dyDescent="0.25">
      <c r="A7" s="7" t="s">
        <v>34</v>
      </c>
      <c r="B7" s="2">
        <v>127</v>
      </c>
      <c r="C7" s="2">
        <v>9211</v>
      </c>
      <c r="D7" s="34">
        <f t="shared" si="0"/>
        <v>24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s="2">
        <v>1</v>
      </c>
      <c r="M7" s="2">
        <v>2</v>
      </c>
      <c r="N7" s="2">
        <v>1</v>
      </c>
      <c r="O7" s="2">
        <v>2</v>
      </c>
      <c r="P7" s="2">
        <v>1</v>
      </c>
      <c r="Q7" s="2">
        <v>2</v>
      </c>
      <c r="R7" s="2">
        <v>1</v>
      </c>
      <c r="S7" s="3">
        <v>46120</v>
      </c>
      <c r="T7" s="2" t="s">
        <v>53</v>
      </c>
      <c r="U7" s="2" t="s">
        <v>53</v>
      </c>
    </row>
    <row r="8" spans="1:21" x14ac:dyDescent="0.25">
      <c r="A8" s="7" t="s">
        <v>34</v>
      </c>
      <c r="B8" s="2">
        <v>128</v>
      </c>
      <c r="C8" s="2">
        <v>9208</v>
      </c>
      <c r="D8" s="34">
        <f t="shared" si="0"/>
        <v>12</v>
      </c>
      <c r="E8" s="2"/>
      <c r="F8" s="2"/>
      <c r="G8" s="2"/>
      <c r="H8" s="2"/>
      <c r="I8" s="2"/>
      <c r="J8" s="2"/>
      <c r="K8" s="2">
        <v>2</v>
      </c>
      <c r="L8" s="2">
        <v>1</v>
      </c>
      <c r="M8" s="2">
        <v>2</v>
      </c>
      <c r="N8" s="2">
        <v>1</v>
      </c>
      <c r="O8" s="2">
        <v>2</v>
      </c>
      <c r="P8" s="2">
        <v>1</v>
      </c>
      <c r="Q8" s="2">
        <v>2</v>
      </c>
      <c r="R8" s="2">
        <v>1</v>
      </c>
      <c r="S8" s="3">
        <v>46120</v>
      </c>
      <c r="T8" s="2"/>
      <c r="U8" s="2"/>
    </row>
    <row r="9" spans="1:21" x14ac:dyDescent="0.25">
      <c r="A9" s="7" t="s">
        <v>34</v>
      </c>
      <c r="B9" s="2">
        <v>129</v>
      </c>
      <c r="C9" s="2">
        <v>9205</v>
      </c>
      <c r="D9" s="34">
        <f t="shared" si="0"/>
        <v>12</v>
      </c>
      <c r="E9" s="2"/>
      <c r="F9" s="2"/>
      <c r="G9" s="2"/>
      <c r="H9" s="2"/>
      <c r="I9" s="2"/>
      <c r="J9" s="2"/>
      <c r="K9" s="2">
        <v>2</v>
      </c>
      <c r="L9" s="2">
        <v>1</v>
      </c>
      <c r="M9" s="2">
        <v>2</v>
      </c>
      <c r="N9" s="2">
        <v>1</v>
      </c>
      <c r="O9" s="2">
        <v>2</v>
      </c>
      <c r="P9" s="2">
        <v>1</v>
      </c>
      <c r="Q9" s="2">
        <v>2</v>
      </c>
      <c r="R9" s="2">
        <v>1</v>
      </c>
      <c r="S9" s="3">
        <v>46120</v>
      </c>
      <c r="T9" s="2"/>
      <c r="U9" s="2"/>
    </row>
    <row r="10" spans="1:21" x14ac:dyDescent="0.25">
      <c r="A10" s="7" t="s">
        <v>88</v>
      </c>
      <c r="B10" s="2">
        <v>130</v>
      </c>
      <c r="C10" s="2">
        <v>9228</v>
      </c>
      <c r="D10" s="34">
        <f t="shared" si="0"/>
        <v>14</v>
      </c>
      <c r="E10" s="2"/>
      <c r="F10" s="2"/>
      <c r="G10" s="2"/>
      <c r="H10" s="2"/>
      <c r="I10" s="2"/>
      <c r="J10" s="2"/>
      <c r="K10" s="2">
        <v>2</v>
      </c>
      <c r="L10" s="2">
        <v>2</v>
      </c>
      <c r="M10" s="2">
        <v>2</v>
      </c>
      <c r="N10" s="2">
        <v>2</v>
      </c>
      <c r="O10" s="2">
        <v>2</v>
      </c>
      <c r="P10" s="2">
        <v>2</v>
      </c>
      <c r="Q10" s="2">
        <v>2</v>
      </c>
      <c r="R10" s="2"/>
      <c r="S10" s="3">
        <v>46120</v>
      </c>
      <c r="T10" s="2"/>
      <c r="U10" s="2"/>
    </row>
    <row r="11" spans="1:21" x14ac:dyDescent="0.25">
      <c r="A11" s="7" t="s">
        <v>88</v>
      </c>
      <c r="B11" s="2">
        <v>131</v>
      </c>
      <c r="C11" s="2">
        <v>3000</v>
      </c>
      <c r="D11" s="34">
        <f t="shared" si="0"/>
        <v>12</v>
      </c>
      <c r="E11" s="2"/>
      <c r="F11" s="2"/>
      <c r="G11" s="2"/>
      <c r="H11" s="2"/>
      <c r="I11" s="2"/>
      <c r="J11" s="2"/>
      <c r="K11" s="2">
        <v>2</v>
      </c>
      <c r="L11" s="2">
        <v>1</v>
      </c>
      <c r="M11" s="2">
        <v>2</v>
      </c>
      <c r="N11" s="2">
        <v>1</v>
      </c>
      <c r="O11" s="2">
        <v>2</v>
      </c>
      <c r="P11" s="2">
        <v>1</v>
      </c>
      <c r="Q11" s="2">
        <v>1</v>
      </c>
      <c r="R11" s="2">
        <v>2</v>
      </c>
      <c r="S11" s="3">
        <v>46120</v>
      </c>
      <c r="T11" s="2" t="s">
        <v>53</v>
      </c>
      <c r="U11" s="2"/>
    </row>
    <row r="12" spans="1:21" x14ac:dyDescent="0.25">
      <c r="A12" s="7" t="s">
        <v>215</v>
      </c>
      <c r="B12" s="2">
        <v>132</v>
      </c>
      <c r="C12" s="2">
        <v>9237</v>
      </c>
      <c r="D12" s="34">
        <f t="shared" si="0"/>
        <v>24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1</v>
      </c>
      <c r="M12" s="2">
        <v>2</v>
      </c>
      <c r="N12" s="2">
        <v>1</v>
      </c>
      <c r="O12" s="2">
        <v>2</v>
      </c>
      <c r="P12" s="2">
        <v>1</v>
      </c>
      <c r="Q12" s="2">
        <v>2</v>
      </c>
      <c r="R12" s="2">
        <v>1</v>
      </c>
      <c r="S12" s="3">
        <v>46120</v>
      </c>
      <c r="T12" s="2" t="s">
        <v>53</v>
      </c>
      <c r="U12" s="2" t="s">
        <v>53</v>
      </c>
    </row>
    <row r="13" spans="1:21" x14ac:dyDescent="0.25">
      <c r="A13" s="7" t="s">
        <v>215</v>
      </c>
      <c r="B13" s="2">
        <v>133</v>
      </c>
      <c r="C13" s="2">
        <v>9219</v>
      </c>
      <c r="D13" s="34">
        <f t="shared" si="0"/>
        <v>24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2">
        <v>1</v>
      </c>
      <c r="M13" s="2">
        <v>2</v>
      </c>
      <c r="N13" s="2">
        <v>1</v>
      </c>
      <c r="O13" s="2">
        <v>2</v>
      </c>
      <c r="P13" s="2">
        <v>1</v>
      </c>
      <c r="Q13" s="2">
        <v>2</v>
      </c>
      <c r="R13" s="2">
        <v>1</v>
      </c>
      <c r="S13" s="3">
        <v>46120</v>
      </c>
      <c r="T13" s="2" t="s">
        <v>25</v>
      </c>
      <c r="U13" s="2" t="s">
        <v>25</v>
      </c>
    </row>
    <row r="14" spans="1:21" x14ac:dyDescent="0.25">
      <c r="A14" s="7" t="s">
        <v>215</v>
      </c>
      <c r="B14" s="2">
        <v>134</v>
      </c>
      <c r="C14" s="2">
        <v>9243</v>
      </c>
      <c r="D14" s="34">
        <f t="shared" si="0"/>
        <v>24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2</v>
      </c>
      <c r="L14" s="2">
        <v>1</v>
      </c>
      <c r="M14" s="2">
        <v>2</v>
      </c>
      <c r="N14" s="2">
        <v>1</v>
      </c>
      <c r="O14" s="2">
        <v>2</v>
      </c>
      <c r="P14" s="2">
        <v>1</v>
      </c>
      <c r="Q14" s="2">
        <v>2</v>
      </c>
      <c r="R14" s="2">
        <v>1</v>
      </c>
      <c r="S14" s="3">
        <v>46120</v>
      </c>
      <c r="T14" s="2" t="s">
        <v>25</v>
      </c>
      <c r="U14" s="2" t="s">
        <v>25</v>
      </c>
    </row>
    <row r="15" spans="1:21" x14ac:dyDescent="0.25">
      <c r="A15" s="7" t="s">
        <v>215</v>
      </c>
      <c r="B15" s="2">
        <v>135</v>
      </c>
      <c r="C15" s="2">
        <v>9267</v>
      </c>
      <c r="D15" s="34">
        <f t="shared" si="0"/>
        <v>24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2</v>
      </c>
      <c r="L15" s="2">
        <v>1</v>
      </c>
      <c r="M15" s="2">
        <v>2</v>
      </c>
      <c r="N15" s="2">
        <v>1</v>
      </c>
      <c r="O15" s="2">
        <v>2</v>
      </c>
      <c r="P15" s="2">
        <v>1</v>
      </c>
      <c r="Q15" s="2">
        <v>2</v>
      </c>
      <c r="R15" s="2">
        <v>1</v>
      </c>
      <c r="S15" s="3">
        <v>46120</v>
      </c>
      <c r="T15" s="2" t="s">
        <v>53</v>
      </c>
      <c r="U15" s="2" t="s">
        <v>53</v>
      </c>
    </row>
    <row r="16" spans="1:21" x14ac:dyDescent="0.25">
      <c r="A16" s="7" t="s">
        <v>216</v>
      </c>
      <c r="B16" s="2">
        <v>136</v>
      </c>
      <c r="C16" s="2">
        <v>9267</v>
      </c>
      <c r="D16" s="34">
        <f t="shared" si="0"/>
        <v>28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  <c r="K16" s="2">
        <v>2</v>
      </c>
      <c r="L16" s="2">
        <v>2</v>
      </c>
      <c r="M16" s="2">
        <v>2</v>
      </c>
      <c r="N16" s="2">
        <v>2</v>
      </c>
      <c r="O16" s="2">
        <v>2</v>
      </c>
      <c r="P16" s="2">
        <v>2</v>
      </c>
      <c r="Q16" s="2">
        <v>2</v>
      </c>
      <c r="R16" s="2">
        <v>2</v>
      </c>
      <c r="S16" s="3">
        <v>46120</v>
      </c>
      <c r="T16" s="2"/>
      <c r="U16" s="2"/>
    </row>
    <row r="17" spans="1:21" x14ac:dyDescent="0.25">
      <c r="A17" s="7" t="s">
        <v>216</v>
      </c>
      <c r="B17" s="2">
        <v>137</v>
      </c>
      <c r="C17" s="2">
        <v>9219</v>
      </c>
      <c r="D17" s="34">
        <f t="shared" si="0"/>
        <v>28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2</v>
      </c>
      <c r="M17" s="2">
        <v>2</v>
      </c>
      <c r="N17" s="2">
        <v>2</v>
      </c>
      <c r="O17" s="2">
        <v>2</v>
      </c>
      <c r="P17" s="2">
        <v>2</v>
      </c>
      <c r="Q17" s="2">
        <v>2</v>
      </c>
      <c r="R17" s="2">
        <v>2</v>
      </c>
      <c r="S17" s="3">
        <v>46120</v>
      </c>
      <c r="T17" s="2" t="s">
        <v>53</v>
      </c>
      <c r="U17" s="2"/>
    </row>
    <row r="18" spans="1:21" x14ac:dyDescent="0.25">
      <c r="A18" s="7" t="s">
        <v>216</v>
      </c>
      <c r="B18" s="2">
        <v>138</v>
      </c>
      <c r="C18" s="2">
        <v>9231</v>
      </c>
      <c r="D18" s="34">
        <f t="shared" si="0"/>
        <v>28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2">
        <v>2</v>
      </c>
      <c r="M18" s="2">
        <v>2</v>
      </c>
      <c r="N18" s="2">
        <v>2</v>
      </c>
      <c r="O18" s="2">
        <v>2</v>
      </c>
      <c r="P18" s="2">
        <v>2</v>
      </c>
      <c r="Q18" s="2">
        <v>2</v>
      </c>
      <c r="R18" s="2">
        <v>2</v>
      </c>
      <c r="S18" s="3">
        <v>46120</v>
      </c>
      <c r="T18" s="2"/>
      <c r="U18" s="2"/>
    </row>
    <row r="19" spans="1:21" x14ac:dyDescent="0.25">
      <c r="A19" s="7" t="s">
        <v>217</v>
      </c>
      <c r="B19" s="2">
        <v>139</v>
      </c>
      <c r="C19" s="2">
        <v>9264</v>
      </c>
      <c r="D19" s="34">
        <f t="shared" si="0"/>
        <v>24</v>
      </c>
      <c r="E19" s="2">
        <v>2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>
        <v>1</v>
      </c>
      <c r="M19" s="2">
        <v>2</v>
      </c>
      <c r="N19" s="2">
        <v>1</v>
      </c>
      <c r="O19" s="2">
        <v>2</v>
      </c>
      <c r="P19" s="2">
        <v>1</v>
      </c>
      <c r="Q19" s="2">
        <v>2</v>
      </c>
      <c r="R19" s="2">
        <v>1</v>
      </c>
      <c r="S19" s="3">
        <v>46120</v>
      </c>
      <c r="T19" s="2"/>
      <c r="U19" s="2"/>
    </row>
    <row r="20" spans="1:21" x14ac:dyDescent="0.25">
      <c r="A20" s="7" t="s">
        <v>217</v>
      </c>
      <c r="B20" s="2">
        <v>140</v>
      </c>
      <c r="C20" s="2">
        <v>9237</v>
      </c>
      <c r="D20" s="34">
        <f t="shared" si="0"/>
        <v>24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1</v>
      </c>
      <c r="M20" s="2">
        <v>2</v>
      </c>
      <c r="N20" s="2">
        <v>1</v>
      </c>
      <c r="O20" s="2">
        <v>2</v>
      </c>
      <c r="P20" s="2">
        <v>1</v>
      </c>
      <c r="Q20" s="2">
        <v>2</v>
      </c>
      <c r="R20" s="2">
        <v>1</v>
      </c>
      <c r="S20" s="3">
        <v>46120</v>
      </c>
      <c r="T20" s="2"/>
      <c r="U20" s="2"/>
    </row>
    <row r="21" spans="1:21" x14ac:dyDescent="0.25">
      <c r="A21" s="7" t="s">
        <v>217</v>
      </c>
      <c r="B21" s="2">
        <v>141</v>
      </c>
      <c r="C21" s="2">
        <v>9231</v>
      </c>
      <c r="D21" s="34">
        <f t="shared" si="0"/>
        <v>24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1</v>
      </c>
      <c r="M21" s="2">
        <v>2</v>
      </c>
      <c r="N21" s="2">
        <v>1</v>
      </c>
      <c r="O21" s="2">
        <v>2</v>
      </c>
      <c r="P21" s="2">
        <v>1</v>
      </c>
      <c r="Q21" s="2">
        <v>2</v>
      </c>
      <c r="R21" s="2">
        <v>1</v>
      </c>
      <c r="S21" s="3">
        <v>46120</v>
      </c>
      <c r="T21" s="2" t="s">
        <v>25</v>
      </c>
      <c r="U21" s="2" t="s">
        <v>25</v>
      </c>
    </row>
    <row r="22" spans="1:21" x14ac:dyDescent="0.25">
      <c r="A22" s="7" t="s">
        <v>217</v>
      </c>
      <c r="B22" s="2">
        <v>142</v>
      </c>
      <c r="C22" s="2">
        <v>9242</v>
      </c>
      <c r="D22" s="34">
        <f t="shared" si="0"/>
        <v>24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1</v>
      </c>
      <c r="M22" s="2">
        <v>2</v>
      </c>
      <c r="N22" s="2">
        <v>1</v>
      </c>
      <c r="O22" s="2">
        <v>2</v>
      </c>
      <c r="P22" s="2">
        <v>1</v>
      </c>
      <c r="Q22" s="2">
        <v>2</v>
      </c>
      <c r="R22" s="2">
        <v>1</v>
      </c>
      <c r="S22" s="3">
        <v>46120</v>
      </c>
      <c r="T22" s="2"/>
      <c r="U22" s="2"/>
    </row>
    <row r="23" spans="1:21" x14ac:dyDescent="0.25">
      <c r="A23" s="7" t="s">
        <v>218</v>
      </c>
      <c r="B23" s="2">
        <v>144</v>
      </c>
      <c r="C23" s="2">
        <v>9275</v>
      </c>
      <c r="D23" s="34">
        <f t="shared" si="0"/>
        <v>14</v>
      </c>
      <c r="E23" s="2">
        <v>2</v>
      </c>
      <c r="F23" s="2"/>
      <c r="G23" s="2">
        <v>2</v>
      </c>
      <c r="H23" s="2"/>
      <c r="I23" s="2">
        <v>2</v>
      </c>
      <c r="J23" s="2"/>
      <c r="K23" s="2">
        <v>2</v>
      </c>
      <c r="L23" s="2"/>
      <c r="M23" s="2">
        <v>2</v>
      </c>
      <c r="N23" s="2"/>
      <c r="O23" s="2">
        <v>2</v>
      </c>
      <c r="P23" s="2"/>
      <c r="Q23" s="2">
        <v>2</v>
      </c>
      <c r="R23" s="2"/>
      <c r="S23" s="3">
        <v>46120</v>
      </c>
      <c r="T23" s="2"/>
      <c r="U23" s="2"/>
    </row>
    <row r="24" spans="1:21" x14ac:dyDescent="0.25">
      <c r="A24" s="7" t="s">
        <v>218</v>
      </c>
      <c r="B24" s="2">
        <v>145</v>
      </c>
      <c r="C24" s="2">
        <v>9274</v>
      </c>
      <c r="D24" s="34">
        <f t="shared" si="0"/>
        <v>14</v>
      </c>
      <c r="E24" s="2">
        <v>2</v>
      </c>
      <c r="F24" s="2"/>
      <c r="G24" s="2">
        <v>2</v>
      </c>
      <c r="H24" s="2"/>
      <c r="I24" s="2">
        <v>2</v>
      </c>
      <c r="J24" s="2"/>
      <c r="K24" s="2">
        <v>2</v>
      </c>
      <c r="L24" s="2"/>
      <c r="M24" s="2">
        <v>2</v>
      </c>
      <c r="N24" s="2"/>
      <c r="O24" s="2">
        <v>2</v>
      </c>
      <c r="P24" s="2"/>
      <c r="Q24" s="2">
        <v>2</v>
      </c>
      <c r="R24" s="2"/>
      <c r="S24" s="3">
        <v>46120</v>
      </c>
      <c r="T24" s="2"/>
      <c r="U24" s="2"/>
    </row>
    <row r="25" spans="1:21" x14ac:dyDescent="0.25">
      <c r="A25" s="7" t="s">
        <v>218</v>
      </c>
      <c r="B25" s="2">
        <v>146</v>
      </c>
      <c r="C25" s="2">
        <v>9205</v>
      </c>
      <c r="D25" s="34">
        <f t="shared" si="0"/>
        <v>14</v>
      </c>
      <c r="E25" s="2">
        <v>2</v>
      </c>
      <c r="F25" s="2"/>
      <c r="G25" s="2">
        <v>2</v>
      </c>
      <c r="H25" s="2"/>
      <c r="I25" s="2">
        <v>2</v>
      </c>
      <c r="J25" s="2"/>
      <c r="K25" s="2">
        <v>2</v>
      </c>
      <c r="L25" s="2"/>
      <c r="M25" s="2">
        <v>2</v>
      </c>
      <c r="N25" s="2"/>
      <c r="O25" s="2">
        <v>2</v>
      </c>
      <c r="P25" s="2"/>
      <c r="Q25" s="2">
        <v>2</v>
      </c>
      <c r="R25" s="2"/>
      <c r="S25" s="3">
        <v>46120</v>
      </c>
      <c r="T25" s="2"/>
      <c r="U25" s="2"/>
    </row>
    <row r="26" spans="1:21" x14ac:dyDescent="0.25">
      <c r="A26" s="7" t="s">
        <v>218</v>
      </c>
      <c r="B26" s="2">
        <v>147</v>
      </c>
      <c r="C26" s="2">
        <v>9276</v>
      </c>
      <c r="D26" s="34">
        <f t="shared" si="0"/>
        <v>14</v>
      </c>
      <c r="E26" s="2">
        <v>2</v>
      </c>
      <c r="F26" s="2"/>
      <c r="G26" s="2">
        <v>2</v>
      </c>
      <c r="H26" s="2"/>
      <c r="I26" s="2">
        <v>2</v>
      </c>
      <c r="J26" s="2"/>
      <c r="K26" s="2">
        <v>2</v>
      </c>
      <c r="L26" s="2"/>
      <c r="M26" s="2">
        <v>2</v>
      </c>
      <c r="N26" s="2"/>
      <c r="O26" s="2">
        <v>2</v>
      </c>
      <c r="P26" s="2"/>
      <c r="Q26" s="2">
        <v>2</v>
      </c>
      <c r="R26" s="2"/>
      <c r="S26" s="3">
        <v>46120</v>
      </c>
      <c r="T26" s="2" t="s">
        <v>25</v>
      </c>
      <c r="U26" s="2" t="s">
        <v>25</v>
      </c>
    </row>
    <row r="27" spans="1:21" x14ac:dyDescent="0.25">
      <c r="A27" s="7" t="s">
        <v>218</v>
      </c>
      <c r="B27" s="2">
        <v>148</v>
      </c>
      <c r="C27" s="2">
        <v>9243</v>
      </c>
      <c r="D27" s="34">
        <f t="shared" si="0"/>
        <v>14</v>
      </c>
      <c r="E27" s="2">
        <v>2</v>
      </c>
      <c r="F27" s="2"/>
      <c r="G27" s="2">
        <v>2</v>
      </c>
      <c r="H27" s="2"/>
      <c r="I27" s="2">
        <v>2</v>
      </c>
      <c r="J27" s="2"/>
      <c r="K27" s="2">
        <v>2</v>
      </c>
      <c r="L27" s="2"/>
      <c r="M27" s="2">
        <v>2</v>
      </c>
      <c r="N27" s="2"/>
      <c r="O27" s="2">
        <v>2</v>
      </c>
      <c r="P27" s="2"/>
      <c r="Q27" s="2">
        <v>2</v>
      </c>
      <c r="R27" s="2"/>
      <c r="S27" s="3">
        <v>46120</v>
      </c>
      <c r="T27" s="2"/>
      <c r="U27" s="2"/>
    </row>
    <row r="28" spans="1:21" x14ac:dyDescent="0.25">
      <c r="A28" s="7" t="s">
        <v>219</v>
      </c>
      <c r="B28" s="2">
        <v>151</v>
      </c>
      <c r="C28" s="2">
        <v>9282</v>
      </c>
      <c r="D28" s="34">
        <f t="shared" si="0"/>
        <v>14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3">
        <v>46121</v>
      </c>
      <c r="T28" s="2" t="s">
        <v>25</v>
      </c>
      <c r="U28" s="2"/>
    </row>
    <row r="29" spans="1:21" x14ac:dyDescent="0.25">
      <c r="A29" s="7" t="s">
        <v>219</v>
      </c>
      <c r="B29" s="2">
        <v>152</v>
      </c>
      <c r="C29" s="2">
        <v>9273</v>
      </c>
      <c r="D29" s="34">
        <f t="shared" si="0"/>
        <v>14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3">
        <v>46121</v>
      </c>
      <c r="T29" s="2" t="s">
        <v>25</v>
      </c>
      <c r="U29" s="2" t="s">
        <v>25</v>
      </c>
    </row>
    <row r="30" spans="1:21" x14ac:dyDescent="0.25">
      <c r="A30" s="7" t="s">
        <v>219</v>
      </c>
      <c r="B30" s="2">
        <v>153</v>
      </c>
      <c r="C30" s="2">
        <v>9270</v>
      </c>
      <c r="D30" s="34">
        <f t="shared" si="0"/>
        <v>14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3">
        <v>46121</v>
      </c>
      <c r="T30" s="2" t="s">
        <v>25</v>
      </c>
      <c r="U30" s="2" t="s">
        <v>25</v>
      </c>
    </row>
    <row r="31" spans="1:21" x14ac:dyDescent="0.25">
      <c r="A31" s="7" t="s">
        <v>219</v>
      </c>
      <c r="B31" s="2">
        <v>154</v>
      </c>
      <c r="C31" s="2">
        <v>2601</v>
      </c>
      <c r="D31" s="34">
        <f t="shared" si="0"/>
        <v>14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3">
        <v>46121</v>
      </c>
      <c r="T31" s="2" t="s">
        <v>53</v>
      </c>
      <c r="U31" s="2" t="s">
        <v>53</v>
      </c>
    </row>
    <row r="32" spans="1:21" x14ac:dyDescent="0.25">
      <c r="A32" s="7" t="s">
        <v>219</v>
      </c>
      <c r="B32" s="2">
        <v>155</v>
      </c>
      <c r="C32" s="2">
        <v>9271</v>
      </c>
      <c r="D32" s="34">
        <f t="shared" si="0"/>
        <v>14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3">
        <v>46121</v>
      </c>
      <c r="T32" s="2" t="s">
        <v>25</v>
      </c>
      <c r="U32" s="2" t="s">
        <v>25</v>
      </c>
    </row>
    <row r="33" spans="1:21" x14ac:dyDescent="0.25">
      <c r="A33" s="7" t="s">
        <v>219</v>
      </c>
      <c r="B33" s="2">
        <v>156</v>
      </c>
      <c r="C33" s="2">
        <v>9288</v>
      </c>
      <c r="D33" s="34">
        <f t="shared" si="0"/>
        <v>14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3">
        <v>46121</v>
      </c>
      <c r="T33" s="2"/>
      <c r="U33" s="2"/>
    </row>
    <row r="34" spans="1:21" x14ac:dyDescent="0.25">
      <c r="A34" s="7" t="s">
        <v>220</v>
      </c>
      <c r="B34" s="2">
        <v>157</v>
      </c>
      <c r="C34" s="2">
        <v>2601</v>
      </c>
      <c r="D34" s="34">
        <f t="shared" si="0"/>
        <v>14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3">
        <v>46121</v>
      </c>
      <c r="T34" s="2" t="s">
        <v>53</v>
      </c>
      <c r="U34" s="2" t="s">
        <v>53</v>
      </c>
    </row>
    <row r="35" spans="1:21" x14ac:dyDescent="0.25">
      <c r="A35" s="7" t="s">
        <v>221</v>
      </c>
      <c r="B35" s="2">
        <v>158</v>
      </c>
      <c r="C35" s="2">
        <v>9270</v>
      </c>
      <c r="D35" s="34">
        <f t="shared" si="0"/>
        <v>16</v>
      </c>
      <c r="E35" s="2">
        <v>1</v>
      </c>
      <c r="F35" s="2">
        <v>1</v>
      </c>
      <c r="G35" s="2">
        <v>1</v>
      </c>
      <c r="H35" s="2"/>
      <c r="I35" s="2">
        <v>2</v>
      </c>
      <c r="J35" s="2"/>
      <c r="K35" s="2">
        <v>2</v>
      </c>
      <c r="L35" s="2"/>
      <c r="M35" s="2">
        <v>2</v>
      </c>
      <c r="N35" s="2">
        <v>1</v>
      </c>
      <c r="O35" s="2">
        <v>2</v>
      </c>
      <c r="P35" s="2">
        <v>1</v>
      </c>
      <c r="Q35" s="2">
        <v>1</v>
      </c>
      <c r="R35" s="2">
        <v>2</v>
      </c>
      <c r="S35" s="3">
        <v>46121</v>
      </c>
      <c r="T35" s="2" t="s">
        <v>25</v>
      </c>
      <c r="U35" s="2" t="s">
        <v>25</v>
      </c>
    </row>
    <row r="36" spans="1:21" x14ac:dyDescent="0.25">
      <c r="A36" s="7" t="s">
        <v>221</v>
      </c>
      <c r="B36" s="2">
        <v>159</v>
      </c>
      <c r="C36" s="2">
        <v>2601</v>
      </c>
      <c r="D36" s="34">
        <f t="shared" si="0"/>
        <v>15</v>
      </c>
      <c r="E36" s="2">
        <v>1</v>
      </c>
      <c r="F36" s="2"/>
      <c r="G36" s="2">
        <v>2</v>
      </c>
      <c r="H36" s="2">
        <v>1</v>
      </c>
      <c r="I36" s="2">
        <v>2</v>
      </c>
      <c r="J36" s="2">
        <v>1</v>
      </c>
      <c r="K36" s="2">
        <v>2</v>
      </c>
      <c r="L36" s="2">
        <v>1</v>
      </c>
      <c r="M36" s="2">
        <v>1</v>
      </c>
      <c r="N36" s="2">
        <v>1</v>
      </c>
      <c r="O36" s="2">
        <v>1</v>
      </c>
      <c r="P36" s="2"/>
      <c r="Q36" s="2">
        <v>1</v>
      </c>
      <c r="R36" s="2">
        <v>1</v>
      </c>
      <c r="S36" s="3">
        <v>46121</v>
      </c>
      <c r="T36" s="2" t="s">
        <v>53</v>
      </c>
      <c r="U36" s="2" t="s">
        <v>53</v>
      </c>
    </row>
    <row r="37" spans="1:21" x14ac:dyDescent="0.25">
      <c r="A37" s="11"/>
      <c r="B37" s="4"/>
      <c r="C37" s="4"/>
      <c r="D37" s="17">
        <f>SUM(D3:D36)</f>
        <v>629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2"/>
      <c r="T37" s="4"/>
      <c r="U37" s="4"/>
    </row>
    <row r="39" spans="1:21" ht="18.75" x14ac:dyDescent="0.25">
      <c r="A39" s="63" t="s">
        <v>120</v>
      </c>
      <c r="B39" s="63"/>
      <c r="C39" s="63"/>
      <c r="D39" s="63"/>
      <c r="E39" s="63" t="s">
        <v>4</v>
      </c>
      <c r="F39" s="63"/>
      <c r="G39" s="63"/>
      <c r="H39" s="63"/>
      <c r="I39" s="63"/>
      <c r="J39" s="63"/>
      <c r="K39" s="63"/>
      <c r="L39" s="63"/>
      <c r="M39" s="63"/>
      <c r="N39" s="67" t="s">
        <v>223</v>
      </c>
      <c r="O39" s="68"/>
      <c r="P39" s="68"/>
      <c r="Q39" s="69"/>
      <c r="R39" s="82" t="s">
        <v>6</v>
      </c>
      <c r="S39" s="83"/>
    </row>
    <row r="40" spans="1:21" x14ac:dyDescent="0.25">
      <c r="A40" s="6" t="s">
        <v>0</v>
      </c>
      <c r="B40" s="6" t="s">
        <v>1</v>
      </c>
      <c r="C40" s="6" t="s">
        <v>3</v>
      </c>
      <c r="D40" s="12" t="s">
        <v>2</v>
      </c>
      <c r="E40" s="6">
        <v>22</v>
      </c>
      <c r="F40" s="6">
        <v>22.5</v>
      </c>
      <c r="G40" s="6">
        <v>23</v>
      </c>
      <c r="H40" s="6">
        <v>23.5</v>
      </c>
      <c r="I40" s="6">
        <v>24</v>
      </c>
      <c r="J40" s="6">
        <v>24.5</v>
      </c>
      <c r="K40" s="6">
        <v>25</v>
      </c>
      <c r="L40" s="6">
        <v>25.5</v>
      </c>
      <c r="M40" s="6">
        <v>26</v>
      </c>
      <c r="N40" s="70"/>
      <c r="O40" s="71"/>
      <c r="P40" s="71"/>
      <c r="Q40" s="72"/>
      <c r="R40" s="38" t="s">
        <v>9</v>
      </c>
      <c r="S40" s="38" t="s">
        <v>10</v>
      </c>
    </row>
    <row r="41" spans="1:21" x14ac:dyDescent="0.25">
      <c r="A41" s="1" t="s">
        <v>214</v>
      </c>
      <c r="B41" s="10">
        <v>123</v>
      </c>
      <c r="C41" s="10">
        <v>2402</v>
      </c>
      <c r="D41" s="34">
        <v>17</v>
      </c>
      <c r="E41" s="10">
        <v>2</v>
      </c>
      <c r="F41" s="10"/>
      <c r="G41" s="10">
        <v>5</v>
      </c>
      <c r="H41" s="10"/>
      <c r="I41" s="10">
        <v>5</v>
      </c>
      <c r="J41" s="10"/>
      <c r="K41" s="10">
        <v>5</v>
      </c>
      <c r="L41" s="10"/>
      <c r="M41" s="10"/>
      <c r="N41" s="80">
        <v>46119</v>
      </c>
      <c r="O41" s="81"/>
      <c r="P41" s="81"/>
      <c r="Q41" s="81"/>
      <c r="R41" s="9" t="s">
        <v>25</v>
      </c>
      <c r="S41" s="9" t="s">
        <v>25</v>
      </c>
    </row>
    <row r="42" spans="1:21" x14ac:dyDescent="0.25">
      <c r="A42" s="1" t="s">
        <v>214</v>
      </c>
      <c r="B42" s="10">
        <v>124</v>
      </c>
      <c r="C42" s="10">
        <v>2403</v>
      </c>
      <c r="D42" s="34">
        <v>17</v>
      </c>
      <c r="E42" s="10">
        <v>2</v>
      </c>
      <c r="F42" s="10"/>
      <c r="G42" s="10">
        <v>5</v>
      </c>
      <c r="H42" s="10"/>
      <c r="I42" s="10">
        <v>5</v>
      </c>
      <c r="J42" s="10"/>
      <c r="K42" s="10">
        <v>5</v>
      </c>
      <c r="L42" s="10"/>
      <c r="M42" s="10"/>
      <c r="N42" s="80">
        <v>46119</v>
      </c>
      <c r="O42" s="81"/>
      <c r="P42" s="81"/>
      <c r="Q42" s="81"/>
      <c r="R42" s="9" t="s">
        <v>25</v>
      </c>
      <c r="S42" s="9" t="s">
        <v>25</v>
      </c>
    </row>
    <row r="43" spans="1:21" x14ac:dyDescent="0.25">
      <c r="A43" s="1" t="s">
        <v>214</v>
      </c>
      <c r="B43" s="10">
        <v>125</v>
      </c>
      <c r="C43" s="10">
        <v>2408</v>
      </c>
      <c r="D43" s="34">
        <v>17</v>
      </c>
      <c r="E43" s="10">
        <v>2</v>
      </c>
      <c r="F43" s="10"/>
      <c r="G43" s="10">
        <v>5</v>
      </c>
      <c r="H43" s="10"/>
      <c r="I43" s="10">
        <v>5</v>
      </c>
      <c r="J43" s="10"/>
      <c r="K43" s="10">
        <v>5</v>
      </c>
      <c r="L43" s="10"/>
      <c r="M43" s="10"/>
      <c r="N43" s="80">
        <v>46119</v>
      </c>
      <c r="O43" s="81"/>
      <c r="P43" s="81"/>
      <c r="Q43" s="81"/>
      <c r="R43" s="2"/>
      <c r="S43" s="2"/>
    </row>
    <row r="44" spans="1:21" x14ac:dyDescent="0.25">
      <c r="A44" s="1" t="s">
        <v>222</v>
      </c>
      <c r="B44" s="2">
        <v>160</v>
      </c>
      <c r="C44" s="2">
        <v>2601</v>
      </c>
      <c r="D44" s="34">
        <v>17</v>
      </c>
      <c r="E44" s="2">
        <v>1</v>
      </c>
      <c r="F44" s="2">
        <v>1</v>
      </c>
      <c r="G44" s="2">
        <v>2</v>
      </c>
      <c r="H44" s="2">
        <v>1</v>
      </c>
      <c r="I44" s="2">
        <v>2</v>
      </c>
      <c r="J44" s="2">
        <v>1</v>
      </c>
      <c r="K44" s="2">
        <v>1</v>
      </c>
      <c r="L44" s="2"/>
      <c r="M44" s="2"/>
      <c r="N44" s="76">
        <v>46121</v>
      </c>
      <c r="O44" s="77"/>
      <c r="P44" s="77"/>
      <c r="Q44" s="78"/>
      <c r="R44" s="2" t="s">
        <v>53</v>
      </c>
      <c r="S44" s="2" t="s">
        <v>53</v>
      </c>
    </row>
    <row r="45" spans="1:21" x14ac:dyDescent="0.25">
      <c r="A45" s="1" t="s">
        <v>222</v>
      </c>
      <c r="B45" s="2">
        <v>161</v>
      </c>
      <c r="C45" s="2">
        <v>2402</v>
      </c>
      <c r="D45" s="34">
        <v>17</v>
      </c>
      <c r="E45" s="2">
        <v>1</v>
      </c>
      <c r="F45" s="2"/>
      <c r="G45" s="2">
        <v>1</v>
      </c>
      <c r="H45" s="2"/>
      <c r="I45" s="2">
        <v>2</v>
      </c>
      <c r="J45" s="2"/>
      <c r="K45" s="2">
        <v>2</v>
      </c>
      <c r="L45" s="2"/>
      <c r="M45" s="2"/>
      <c r="N45" s="76">
        <v>46121</v>
      </c>
      <c r="O45" s="77"/>
      <c r="P45" s="77"/>
      <c r="Q45" s="78"/>
      <c r="R45" s="2"/>
      <c r="S45" s="2"/>
    </row>
    <row r="46" spans="1:21" x14ac:dyDescent="0.25">
      <c r="D46" s="17">
        <f>SUM(D41:D45)</f>
        <v>85</v>
      </c>
    </row>
    <row r="48" spans="1:21" ht="18.75" customHeight="1" x14ac:dyDescent="0.25"/>
  </sheetData>
  <mergeCells count="13">
    <mergeCell ref="T1:U1"/>
    <mergeCell ref="A39:D39"/>
    <mergeCell ref="R39:S39"/>
    <mergeCell ref="E39:M39"/>
    <mergeCell ref="N39:Q40"/>
    <mergeCell ref="A1:D1"/>
    <mergeCell ref="E1:R1"/>
    <mergeCell ref="S1:S2"/>
    <mergeCell ref="N44:Q44"/>
    <mergeCell ref="N45:Q45"/>
    <mergeCell ref="N41:Q41"/>
    <mergeCell ref="N42:Q42"/>
    <mergeCell ref="N43:Q43"/>
  </mergeCells>
  <pageMargins left="0.7" right="0.7" top="0.75" bottom="0.75" header="0.3" footer="0.3"/>
  <pageSetup paperSize="256" orientation="portrait" horizontalDpi="203" verticalDpi="203" r:id="rId1"/>
  <ignoredErrors>
    <ignoredError sqref="D3:D22 D23:D36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28"/>
  <sheetViews>
    <sheetView topLeftCell="A10" workbookViewId="0">
      <selection activeCell="R26" sqref="R26"/>
    </sheetView>
  </sheetViews>
  <sheetFormatPr defaultColWidth="11.42578125" defaultRowHeight="15" x14ac:dyDescent="0.25"/>
  <cols>
    <col min="1" max="1" width="21.85546875" customWidth="1"/>
    <col min="2" max="2" width="8.5703125" customWidth="1"/>
    <col min="4" max="4" width="8.7109375" customWidth="1"/>
    <col min="5" max="5" width="4.5703125" customWidth="1"/>
    <col min="6" max="6" width="5.28515625" customWidth="1"/>
    <col min="7" max="7" width="4.140625" customWidth="1"/>
    <col min="8" max="8" width="5.42578125" customWidth="1"/>
    <col min="9" max="9" width="4.28515625" customWidth="1"/>
    <col min="10" max="10" width="5.28515625" customWidth="1"/>
    <col min="11" max="11" width="4.140625" customWidth="1"/>
    <col min="12" max="12" width="5.42578125" customWidth="1"/>
    <col min="13" max="13" width="4.5703125" customWidth="1"/>
    <col min="14" max="14" width="5.28515625" customWidth="1"/>
    <col min="15" max="15" width="4" customWidth="1"/>
    <col min="16" max="16" width="6" customWidth="1"/>
    <col min="17" max="17" width="4.5703125" customWidth="1"/>
    <col min="18" max="18" width="6.140625" customWidth="1"/>
    <col min="19" max="19" width="13.85546875" customWidth="1"/>
  </cols>
  <sheetData>
    <row r="1" spans="1:21" ht="18.75" x14ac:dyDescent="0.25">
      <c r="A1" s="63" t="s">
        <v>224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213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  <c r="T2" s="22" t="s">
        <v>9</v>
      </c>
      <c r="U2" s="22" t="s">
        <v>10</v>
      </c>
    </row>
    <row r="3" spans="1:21" x14ac:dyDescent="0.25">
      <c r="A3" s="1" t="s">
        <v>74</v>
      </c>
      <c r="B3" s="2">
        <v>162</v>
      </c>
      <c r="C3" s="2">
        <v>9213</v>
      </c>
      <c r="D3" s="34">
        <f>SUM(E3:R3)</f>
        <v>28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2</v>
      </c>
      <c r="R3" s="2">
        <v>2</v>
      </c>
      <c r="S3" s="3">
        <v>46126</v>
      </c>
      <c r="T3" s="2"/>
      <c r="U3" s="2"/>
    </row>
    <row r="4" spans="1:21" x14ac:dyDescent="0.25">
      <c r="A4" s="1" t="s">
        <v>74</v>
      </c>
      <c r="B4" s="2">
        <v>163</v>
      </c>
      <c r="C4" s="43">
        <v>9213</v>
      </c>
      <c r="D4" s="34">
        <f t="shared" ref="D4:D18" si="0">SUM(E4:R4)</f>
        <v>28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2</v>
      </c>
      <c r="M4" s="2">
        <v>2</v>
      </c>
      <c r="N4" s="2">
        <v>2</v>
      </c>
      <c r="O4" s="2">
        <v>2</v>
      </c>
      <c r="P4" s="2">
        <v>2</v>
      </c>
      <c r="Q4" s="2">
        <v>2</v>
      </c>
      <c r="R4" s="2">
        <v>2</v>
      </c>
      <c r="S4" s="3">
        <v>46126</v>
      </c>
      <c r="T4" s="79" t="s">
        <v>53</v>
      </c>
      <c r="U4" s="78"/>
    </row>
    <row r="5" spans="1:21" x14ac:dyDescent="0.25">
      <c r="A5" s="1" t="s">
        <v>74</v>
      </c>
      <c r="B5" s="2">
        <v>164</v>
      </c>
      <c r="C5" s="43">
        <v>3000</v>
      </c>
      <c r="D5" s="34">
        <f t="shared" si="0"/>
        <v>28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3">
        <v>46126</v>
      </c>
      <c r="T5" s="2"/>
      <c r="U5" s="2"/>
    </row>
    <row r="6" spans="1:21" x14ac:dyDescent="0.25">
      <c r="A6" s="1" t="s">
        <v>74</v>
      </c>
      <c r="B6" s="2">
        <v>165</v>
      </c>
      <c r="C6" s="43">
        <v>3000</v>
      </c>
      <c r="D6" s="34">
        <f t="shared" si="0"/>
        <v>28</v>
      </c>
      <c r="E6" s="2">
        <v>2</v>
      </c>
      <c r="F6" s="2">
        <v>2</v>
      </c>
      <c r="G6" s="2">
        <v>2</v>
      </c>
      <c r="H6" s="2">
        <v>2</v>
      </c>
      <c r="I6" s="2">
        <v>2</v>
      </c>
      <c r="J6" s="2">
        <v>2</v>
      </c>
      <c r="K6" s="2">
        <v>2</v>
      </c>
      <c r="L6" s="2">
        <v>2</v>
      </c>
      <c r="M6" s="2">
        <v>2</v>
      </c>
      <c r="N6" s="2">
        <v>2</v>
      </c>
      <c r="O6" s="2">
        <v>2</v>
      </c>
      <c r="P6" s="2">
        <v>2</v>
      </c>
      <c r="Q6" s="2">
        <v>2</v>
      </c>
      <c r="R6" s="2">
        <v>2</v>
      </c>
      <c r="S6" s="3">
        <v>46126</v>
      </c>
      <c r="T6" s="2"/>
      <c r="U6" s="2"/>
    </row>
    <row r="7" spans="1:21" x14ac:dyDescent="0.25">
      <c r="A7" s="1" t="s">
        <v>74</v>
      </c>
      <c r="B7" s="2">
        <v>166</v>
      </c>
      <c r="C7" s="43">
        <v>3000</v>
      </c>
      <c r="D7" s="34">
        <f t="shared" si="0"/>
        <v>28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s="2">
        <v>2</v>
      </c>
      <c r="M7" s="2">
        <v>2</v>
      </c>
      <c r="N7" s="2">
        <v>2</v>
      </c>
      <c r="O7" s="2">
        <v>2</v>
      </c>
      <c r="P7" s="2">
        <v>2</v>
      </c>
      <c r="Q7" s="2">
        <v>2</v>
      </c>
      <c r="R7" s="2">
        <v>2</v>
      </c>
      <c r="S7" s="3">
        <v>46126</v>
      </c>
      <c r="T7" s="2"/>
      <c r="U7" s="2"/>
    </row>
    <row r="8" spans="1:21" x14ac:dyDescent="0.25">
      <c r="A8" s="1" t="s">
        <v>74</v>
      </c>
      <c r="B8" s="2">
        <v>167</v>
      </c>
      <c r="C8" s="43">
        <v>3000</v>
      </c>
      <c r="D8" s="34">
        <f t="shared" si="0"/>
        <v>28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2</v>
      </c>
      <c r="K8" s="2">
        <v>2</v>
      </c>
      <c r="L8" s="2">
        <v>2</v>
      </c>
      <c r="M8" s="2">
        <v>2</v>
      </c>
      <c r="N8" s="2">
        <v>2</v>
      </c>
      <c r="O8" s="2">
        <v>2</v>
      </c>
      <c r="P8" s="2">
        <v>2</v>
      </c>
      <c r="Q8" s="2">
        <v>2</v>
      </c>
      <c r="R8" s="2">
        <v>2</v>
      </c>
      <c r="S8" s="3">
        <v>46126</v>
      </c>
      <c r="T8" s="2"/>
      <c r="U8" s="2"/>
    </row>
    <row r="9" spans="1:21" x14ac:dyDescent="0.25">
      <c r="A9" s="1" t="s">
        <v>74</v>
      </c>
      <c r="B9" s="2">
        <v>168</v>
      </c>
      <c r="C9" s="43">
        <v>3000</v>
      </c>
      <c r="D9" s="34">
        <f t="shared" si="0"/>
        <v>28</v>
      </c>
      <c r="E9" s="2">
        <v>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2</v>
      </c>
      <c r="L9" s="2">
        <v>2</v>
      </c>
      <c r="M9" s="2">
        <v>2</v>
      </c>
      <c r="N9" s="2">
        <v>2</v>
      </c>
      <c r="O9" s="2">
        <v>2</v>
      </c>
      <c r="P9" s="2">
        <v>2</v>
      </c>
      <c r="Q9" s="2">
        <v>2</v>
      </c>
      <c r="R9" s="2">
        <v>2</v>
      </c>
      <c r="S9" s="3">
        <v>46126</v>
      </c>
      <c r="T9" s="2"/>
      <c r="U9" s="2"/>
    </row>
    <row r="10" spans="1:21" x14ac:dyDescent="0.25">
      <c r="A10" s="1" t="s">
        <v>74</v>
      </c>
      <c r="B10" s="2">
        <v>169</v>
      </c>
      <c r="C10" s="43">
        <v>9213</v>
      </c>
      <c r="D10" s="34">
        <f t="shared" si="0"/>
        <v>28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2</v>
      </c>
      <c r="M10" s="2">
        <v>2</v>
      </c>
      <c r="N10" s="2">
        <v>2</v>
      </c>
      <c r="O10" s="2">
        <v>2</v>
      </c>
      <c r="P10" s="2">
        <v>2</v>
      </c>
      <c r="Q10" s="2">
        <v>2</v>
      </c>
      <c r="R10" s="2">
        <v>2</v>
      </c>
      <c r="S10" s="3">
        <v>46126</v>
      </c>
      <c r="T10" s="79" t="s">
        <v>53</v>
      </c>
      <c r="U10" s="78"/>
    </row>
    <row r="11" spans="1:21" x14ac:dyDescent="0.25">
      <c r="A11" s="1" t="s">
        <v>74</v>
      </c>
      <c r="B11" s="2">
        <v>170</v>
      </c>
      <c r="C11" s="43">
        <v>9213</v>
      </c>
      <c r="D11" s="34">
        <f t="shared" si="0"/>
        <v>28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2</v>
      </c>
      <c r="O11" s="2">
        <v>2</v>
      </c>
      <c r="P11" s="2">
        <v>2</v>
      </c>
      <c r="Q11" s="2">
        <v>2</v>
      </c>
      <c r="R11" s="2">
        <v>2</v>
      </c>
      <c r="S11" s="3">
        <v>46126</v>
      </c>
      <c r="T11" s="79" t="s">
        <v>53</v>
      </c>
      <c r="U11" s="78"/>
    </row>
    <row r="12" spans="1:21" x14ac:dyDescent="0.25">
      <c r="A12" s="1" t="s">
        <v>74</v>
      </c>
      <c r="B12" s="2">
        <v>171</v>
      </c>
      <c r="C12" s="43">
        <v>9215</v>
      </c>
      <c r="D12" s="34">
        <f t="shared" si="0"/>
        <v>28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2</v>
      </c>
      <c r="M12" s="2">
        <v>2</v>
      </c>
      <c r="N12" s="2">
        <v>2</v>
      </c>
      <c r="O12" s="2">
        <v>2</v>
      </c>
      <c r="P12" s="2">
        <v>2</v>
      </c>
      <c r="Q12" s="2">
        <v>2</v>
      </c>
      <c r="R12" s="2">
        <v>2</v>
      </c>
      <c r="S12" s="3">
        <v>46126</v>
      </c>
      <c r="T12" s="2"/>
      <c r="U12" s="2"/>
    </row>
    <row r="13" spans="1:21" x14ac:dyDescent="0.25">
      <c r="A13" s="1" t="s">
        <v>74</v>
      </c>
      <c r="B13" s="2">
        <v>172</v>
      </c>
      <c r="C13" s="43">
        <v>9213</v>
      </c>
      <c r="D13" s="34">
        <f t="shared" si="0"/>
        <v>28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2">
        <v>2</v>
      </c>
      <c r="M13" s="2">
        <v>2</v>
      </c>
      <c r="N13" s="2">
        <v>2</v>
      </c>
      <c r="O13" s="2">
        <v>2</v>
      </c>
      <c r="P13" s="2">
        <v>2</v>
      </c>
      <c r="Q13" s="2">
        <v>2</v>
      </c>
      <c r="R13" s="2">
        <v>2</v>
      </c>
      <c r="S13" s="3">
        <v>46126</v>
      </c>
      <c r="T13" s="2"/>
      <c r="U13" s="2"/>
    </row>
    <row r="14" spans="1:21" x14ac:dyDescent="0.25">
      <c r="A14" s="1" t="s">
        <v>74</v>
      </c>
      <c r="B14" s="2">
        <v>173</v>
      </c>
      <c r="C14" s="43">
        <v>9232</v>
      </c>
      <c r="D14" s="34">
        <f t="shared" si="0"/>
        <v>28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2</v>
      </c>
      <c r="L14" s="2">
        <v>2</v>
      </c>
      <c r="M14" s="2">
        <v>2</v>
      </c>
      <c r="N14" s="2">
        <v>2</v>
      </c>
      <c r="O14" s="2">
        <v>2</v>
      </c>
      <c r="P14" s="2">
        <v>2</v>
      </c>
      <c r="Q14" s="2">
        <v>2</v>
      </c>
      <c r="R14" s="2">
        <v>2</v>
      </c>
      <c r="S14" s="3">
        <v>46126</v>
      </c>
      <c r="T14" s="2"/>
      <c r="U14" s="2"/>
    </row>
    <row r="15" spans="1:21" x14ac:dyDescent="0.25">
      <c r="A15" s="1" t="s">
        <v>74</v>
      </c>
      <c r="B15" s="2">
        <v>174</v>
      </c>
      <c r="C15" s="43">
        <v>9201</v>
      </c>
      <c r="D15" s="34">
        <f t="shared" si="0"/>
        <v>28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2</v>
      </c>
      <c r="L15" s="2">
        <v>2</v>
      </c>
      <c r="M15" s="2">
        <v>2</v>
      </c>
      <c r="N15" s="2">
        <v>2</v>
      </c>
      <c r="O15" s="2">
        <v>2</v>
      </c>
      <c r="P15" s="2">
        <v>2</v>
      </c>
      <c r="Q15" s="2">
        <v>2</v>
      </c>
      <c r="R15" s="2">
        <v>2</v>
      </c>
      <c r="S15" s="3">
        <v>46126</v>
      </c>
      <c r="T15" s="79" t="s">
        <v>53</v>
      </c>
      <c r="U15" s="78"/>
    </row>
    <row r="16" spans="1:21" x14ac:dyDescent="0.25">
      <c r="A16" s="1" t="s">
        <v>68</v>
      </c>
      <c r="B16" s="2">
        <v>186</v>
      </c>
      <c r="C16" s="2">
        <v>9208</v>
      </c>
      <c r="D16" s="34">
        <f t="shared" si="0"/>
        <v>36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  <c r="K16" s="2">
        <v>8</v>
      </c>
      <c r="L16" s="2">
        <v>7</v>
      </c>
      <c r="M16" s="2">
        <v>2</v>
      </c>
      <c r="N16" s="2">
        <v>1</v>
      </c>
      <c r="O16" s="2">
        <v>2</v>
      </c>
      <c r="P16" s="2">
        <v>1</v>
      </c>
      <c r="Q16" s="2">
        <v>2</v>
      </c>
      <c r="R16" s="2">
        <v>1</v>
      </c>
      <c r="S16" s="3">
        <v>46128</v>
      </c>
      <c r="T16" s="2" t="s">
        <v>25</v>
      </c>
      <c r="U16" s="2"/>
    </row>
    <row r="17" spans="1:21" x14ac:dyDescent="0.25">
      <c r="A17" s="1" t="s">
        <v>68</v>
      </c>
      <c r="B17" s="2">
        <v>187</v>
      </c>
      <c r="C17" s="2">
        <v>9208</v>
      </c>
      <c r="D17" s="34">
        <f t="shared" si="0"/>
        <v>36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8</v>
      </c>
      <c r="L17" s="2">
        <v>7</v>
      </c>
      <c r="M17" s="2">
        <v>2</v>
      </c>
      <c r="N17" s="2">
        <v>1</v>
      </c>
      <c r="O17" s="2">
        <v>2</v>
      </c>
      <c r="P17" s="2">
        <v>1</v>
      </c>
      <c r="Q17" s="2">
        <v>2</v>
      </c>
      <c r="R17" s="2">
        <v>1</v>
      </c>
      <c r="S17" s="3">
        <v>46128</v>
      </c>
      <c r="T17" s="2" t="s">
        <v>25</v>
      </c>
      <c r="U17" s="2"/>
    </row>
    <row r="18" spans="1:21" x14ac:dyDescent="0.25">
      <c r="A18" s="1" t="s">
        <v>68</v>
      </c>
      <c r="B18" s="2">
        <v>188</v>
      </c>
      <c r="C18" s="2">
        <v>9210</v>
      </c>
      <c r="D18" s="34">
        <f t="shared" si="0"/>
        <v>36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8</v>
      </c>
      <c r="L18" s="2">
        <v>7</v>
      </c>
      <c r="M18" s="2">
        <v>2</v>
      </c>
      <c r="N18" s="2">
        <v>1</v>
      </c>
      <c r="O18" s="2">
        <v>2</v>
      </c>
      <c r="P18" s="2">
        <v>1</v>
      </c>
      <c r="Q18" s="2">
        <v>2</v>
      </c>
      <c r="R18" s="2">
        <v>1</v>
      </c>
      <c r="S18" s="3">
        <v>46128</v>
      </c>
      <c r="T18" s="2" t="s">
        <v>53</v>
      </c>
      <c r="U18" s="2" t="s">
        <v>53</v>
      </c>
    </row>
    <row r="19" spans="1:21" x14ac:dyDescent="0.25">
      <c r="A19" s="1"/>
      <c r="B19" s="2"/>
      <c r="C19" s="2"/>
      <c r="D19" s="3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2" spans="1:21" ht="18.75" x14ac:dyDescent="0.25">
      <c r="A22" s="63" t="s">
        <v>120</v>
      </c>
      <c r="B22" s="63"/>
      <c r="C22" s="63"/>
      <c r="D22" s="63"/>
      <c r="E22" s="63" t="s">
        <v>4</v>
      </c>
      <c r="F22" s="63"/>
      <c r="G22" s="63"/>
      <c r="H22" s="63"/>
      <c r="I22" s="63"/>
      <c r="J22" s="63"/>
      <c r="K22" s="63"/>
      <c r="L22" s="63"/>
      <c r="M22" s="63"/>
      <c r="N22" s="67" t="s">
        <v>223</v>
      </c>
      <c r="O22" s="68"/>
      <c r="P22" s="68"/>
      <c r="Q22" s="69"/>
      <c r="R22" s="82" t="s">
        <v>6</v>
      </c>
      <c r="S22" s="83"/>
    </row>
    <row r="23" spans="1:21" x14ac:dyDescent="0.25">
      <c r="A23" s="6" t="s">
        <v>0</v>
      </c>
      <c r="B23" s="6" t="s">
        <v>1</v>
      </c>
      <c r="C23" s="6" t="s">
        <v>3</v>
      </c>
      <c r="D23" s="12" t="s">
        <v>2</v>
      </c>
      <c r="E23" s="6">
        <v>22</v>
      </c>
      <c r="F23" s="6">
        <v>22.5</v>
      </c>
      <c r="G23" s="6">
        <v>23</v>
      </c>
      <c r="H23" s="6">
        <v>23.5</v>
      </c>
      <c r="I23" s="6">
        <v>24</v>
      </c>
      <c r="J23" s="6">
        <v>24.5</v>
      </c>
      <c r="K23" s="6">
        <v>25</v>
      </c>
      <c r="L23" s="6">
        <v>25.5</v>
      </c>
      <c r="M23" s="6">
        <v>26</v>
      </c>
      <c r="N23" s="70"/>
      <c r="O23" s="71"/>
      <c r="P23" s="71"/>
      <c r="Q23" s="72"/>
      <c r="R23" s="82" t="s">
        <v>9</v>
      </c>
      <c r="S23" s="83"/>
    </row>
    <row r="24" spans="1:21" x14ac:dyDescent="0.25">
      <c r="A24" s="1" t="s">
        <v>74</v>
      </c>
      <c r="B24" s="2">
        <v>184</v>
      </c>
      <c r="C24" s="2">
        <v>9213</v>
      </c>
      <c r="D24" s="2">
        <f>SUM(E24:M24)</f>
        <v>12</v>
      </c>
      <c r="E24" s="2">
        <v>1</v>
      </c>
      <c r="F24" s="2">
        <v>1</v>
      </c>
      <c r="G24" s="2">
        <v>2</v>
      </c>
      <c r="H24" s="2">
        <v>2</v>
      </c>
      <c r="I24" s="2">
        <v>2</v>
      </c>
      <c r="J24" s="2">
        <v>2</v>
      </c>
      <c r="K24" s="2">
        <v>2</v>
      </c>
      <c r="L24" s="2"/>
      <c r="M24" s="2"/>
      <c r="N24" s="86">
        <v>46128</v>
      </c>
      <c r="O24" s="87"/>
      <c r="P24" s="87"/>
      <c r="Q24" s="87"/>
      <c r="R24" s="79" t="s">
        <v>53</v>
      </c>
      <c r="S24" s="78"/>
    </row>
    <row r="25" spans="1:21" x14ac:dyDescent="0.25">
      <c r="A25" s="1" t="s">
        <v>74</v>
      </c>
      <c r="B25" s="2">
        <v>185</v>
      </c>
      <c r="C25" s="2">
        <v>9213</v>
      </c>
      <c r="D25" s="2">
        <f>SUM(E25:M25)</f>
        <v>12</v>
      </c>
      <c r="E25" s="2">
        <v>1</v>
      </c>
      <c r="F25" s="2">
        <v>1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/>
      <c r="M25" s="2"/>
      <c r="N25" s="86">
        <v>46128</v>
      </c>
      <c r="O25" s="87"/>
      <c r="P25" s="87"/>
      <c r="Q25" s="87"/>
      <c r="R25" s="79" t="s">
        <v>53</v>
      </c>
      <c r="S25" s="78"/>
    </row>
    <row r="26" spans="1:21" x14ac:dyDescent="0.25">
      <c r="A26" s="1" t="s">
        <v>68</v>
      </c>
      <c r="B26" s="2">
        <v>189</v>
      </c>
      <c r="C26" s="2">
        <v>2401</v>
      </c>
      <c r="D26" s="2">
        <f t="shared" ref="D26:D28" si="1">SUM(E26:M26)</f>
        <v>12</v>
      </c>
      <c r="E26" s="2">
        <v>1</v>
      </c>
      <c r="F26" s="2">
        <v>1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/>
      <c r="M26" s="2"/>
      <c r="N26" s="86">
        <v>46128</v>
      </c>
      <c r="O26" s="87"/>
      <c r="P26" s="87"/>
      <c r="Q26" s="87"/>
      <c r="R26" s="2"/>
      <c r="S26" s="2"/>
    </row>
    <row r="27" spans="1:21" x14ac:dyDescent="0.25">
      <c r="A27" s="1" t="s">
        <v>68</v>
      </c>
      <c r="B27" s="2">
        <v>190</v>
      </c>
      <c r="C27" s="2">
        <v>2401</v>
      </c>
      <c r="D27" s="2">
        <f t="shared" si="1"/>
        <v>12</v>
      </c>
      <c r="E27" s="2">
        <v>1</v>
      </c>
      <c r="F27" s="2">
        <v>1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/>
      <c r="M27" s="2"/>
      <c r="N27" s="86">
        <v>46128</v>
      </c>
      <c r="O27" s="87"/>
      <c r="P27" s="87"/>
      <c r="Q27" s="87"/>
      <c r="R27" s="2" t="s">
        <v>25</v>
      </c>
      <c r="S27" s="2" t="s">
        <v>25</v>
      </c>
    </row>
    <row r="28" spans="1:21" x14ac:dyDescent="0.25">
      <c r="A28" s="1" t="s">
        <v>68</v>
      </c>
      <c r="B28" s="2">
        <v>191</v>
      </c>
      <c r="C28" s="2">
        <v>2401</v>
      </c>
      <c r="D28" s="2">
        <f t="shared" si="1"/>
        <v>12</v>
      </c>
      <c r="E28" s="2">
        <v>1</v>
      </c>
      <c r="F28" s="2">
        <v>1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2"/>
      <c r="M28" s="2"/>
      <c r="N28" s="86">
        <v>46128</v>
      </c>
      <c r="O28" s="87"/>
      <c r="P28" s="87"/>
      <c r="Q28" s="87"/>
      <c r="R28" s="2" t="s">
        <v>25</v>
      </c>
      <c r="S28" s="2" t="s">
        <v>25</v>
      </c>
    </row>
  </sheetData>
  <mergeCells count="20">
    <mergeCell ref="T15:U15"/>
    <mergeCell ref="A1:D1"/>
    <mergeCell ref="E1:R1"/>
    <mergeCell ref="S1:S2"/>
    <mergeCell ref="T1:U1"/>
    <mergeCell ref="T11:U11"/>
    <mergeCell ref="T4:U4"/>
    <mergeCell ref="T10:U10"/>
    <mergeCell ref="R23:S23"/>
    <mergeCell ref="N26:Q26"/>
    <mergeCell ref="A22:D22"/>
    <mergeCell ref="E22:M22"/>
    <mergeCell ref="N22:Q23"/>
    <mergeCell ref="R22:S22"/>
    <mergeCell ref="N24:Q24"/>
    <mergeCell ref="N27:Q27"/>
    <mergeCell ref="N28:Q28"/>
    <mergeCell ref="N25:Q25"/>
    <mergeCell ref="R24:S24"/>
    <mergeCell ref="R25:S25"/>
  </mergeCells>
  <pageMargins left="0.7" right="0.7" top="0.75" bottom="0.75" header="0.3" footer="0.3"/>
  <ignoredErrors>
    <ignoredError sqref="D3:D15 D24:D25 D16:D18 D26:D28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184"/>
  <sheetViews>
    <sheetView topLeftCell="A26" workbookViewId="0">
      <selection activeCell="C37" sqref="C37"/>
    </sheetView>
  </sheetViews>
  <sheetFormatPr defaultColWidth="11.42578125" defaultRowHeight="15" x14ac:dyDescent="0.25"/>
  <cols>
    <col min="1" max="1" width="21" customWidth="1"/>
    <col min="2" max="2" width="9.42578125" customWidth="1"/>
    <col min="4" max="4" width="8.28515625" customWidth="1"/>
    <col min="5" max="5" width="5.140625" customWidth="1"/>
    <col min="6" max="6" width="6" customWidth="1"/>
    <col min="7" max="7" width="5" customWidth="1"/>
    <col min="8" max="9" width="5.5703125" customWidth="1"/>
    <col min="10" max="10" width="5.85546875" customWidth="1"/>
    <col min="11" max="11" width="4.85546875" customWidth="1"/>
    <col min="12" max="12" width="5.42578125" customWidth="1"/>
    <col min="13" max="13" width="5" customWidth="1"/>
    <col min="14" max="14" width="5.140625" customWidth="1"/>
    <col min="15" max="15" width="5.7109375" customWidth="1"/>
    <col min="16" max="16" width="6.140625" customWidth="1"/>
    <col min="17" max="17" width="5.5703125" customWidth="1"/>
    <col min="18" max="18" width="8.28515625" customWidth="1"/>
    <col min="19" max="19" width="13" customWidth="1"/>
  </cols>
  <sheetData>
    <row r="1" spans="1:21" ht="18.75" x14ac:dyDescent="0.25">
      <c r="A1" s="63" t="s">
        <v>225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7" t="s">
        <v>223</v>
      </c>
      <c r="O1" s="68"/>
      <c r="P1" s="68"/>
      <c r="Q1" s="69"/>
      <c r="R1" s="82" t="s">
        <v>6</v>
      </c>
      <c r="S1" s="83"/>
    </row>
    <row r="2" spans="1:21" x14ac:dyDescent="0.25">
      <c r="A2" s="6" t="s">
        <v>0</v>
      </c>
      <c r="B2" s="6" t="s">
        <v>1</v>
      </c>
      <c r="C2" s="6" t="s">
        <v>3</v>
      </c>
      <c r="D2" s="12" t="s">
        <v>2</v>
      </c>
      <c r="E2" s="6">
        <v>22</v>
      </c>
      <c r="F2" s="6">
        <v>22.5</v>
      </c>
      <c r="G2" s="6">
        <v>23</v>
      </c>
      <c r="H2" s="6">
        <v>23.5</v>
      </c>
      <c r="I2" s="6">
        <v>24</v>
      </c>
      <c r="J2" s="6">
        <v>24.5</v>
      </c>
      <c r="K2" s="6">
        <v>25</v>
      </c>
      <c r="L2" s="6">
        <v>25.5</v>
      </c>
      <c r="M2" s="6">
        <v>26</v>
      </c>
      <c r="N2" s="70"/>
      <c r="O2" s="71"/>
      <c r="P2" s="71"/>
      <c r="Q2" s="72"/>
      <c r="R2" s="82" t="s">
        <v>9</v>
      </c>
      <c r="S2" s="83"/>
    </row>
    <row r="3" spans="1:21" x14ac:dyDescent="0.25">
      <c r="A3" s="7" t="s">
        <v>33</v>
      </c>
      <c r="B3" s="2">
        <v>192</v>
      </c>
      <c r="C3" s="2">
        <v>2402</v>
      </c>
      <c r="D3" s="34">
        <f>SUM(E3:M3)</f>
        <v>24</v>
      </c>
      <c r="E3" s="2">
        <v>2</v>
      </c>
      <c r="F3" s="2">
        <v>2</v>
      </c>
      <c r="G3" s="2">
        <v>4</v>
      </c>
      <c r="H3" s="2">
        <v>4</v>
      </c>
      <c r="I3" s="2">
        <v>4</v>
      </c>
      <c r="J3" s="2">
        <v>4</v>
      </c>
      <c r="K3" s="2">
        <v>4</v>
      </c>
      <c r="L3" s="2"/>
      <c r="M3" s="2"/>
      <c r="N3" s="76">
        <v>46132</v>
      </c>
      <c r="O3" s="77"/>
      <c r="P3" s="77"/>
      <c r="Q3" s="78"/>
      <c r="R3" s="2"/>
      <c r="S3" s="2"/>
    </row>
    <row r="4" spans="1:21" x14ac:dyDescent="0.25">
      <c r="A4" s="7" t="s">
        <v>33</v>
      </c>
      <c r="B4" s="2">
        <v>193</v>
      </c>
      <c r="C4" s="2">
        <v>2403</v>
      </c>
      <c r="D4" s="34">
        <f t="shared" ref="D4:D13" si="0">SUM(E4:M4)</f>
        <v>24</v>
      </c>
      <c r="E4" s="2">
        <v>2</v>
      </c>
      <c r="F4" s="2">
        <v>2</v>
      </c>
      <c r="G4" s="2">
        <v>4</v>
      </c>
      <c r="H4" s="2">
        <v>4</v>
      </c>
      <c r="I4" s="2">
        <v>4</v>
      </c>
      <c r="J4" s="2">
        <v>4</v>
      </c>
      <c r="K4" s="2">
        <v>4</v>
      </c>
      <c r="L4" s="2"/>
      <c r="M4" s="2"/>
      <c r="N4" s="76">
        <v>46132</v>
      </c>
      <c r="O4" s="77"/>
      <c r="P4" s="77"/>
      <c r="Q4" s="78"/>
      <c r="R4" s="2"/>
      <c r="S4" s="2"/>
    </row>
    <row r="5" spans="1:21" x14ac:dyDescent="0.25">
      <c r="A5" s="7" t="s">
        <v>33</v>
      </c>
      <c r="B5" s="2">
        <v>194</v>
      </c>
      <c r="C5" s="2">
        <v>2401</v>
      </c>
      <c r="D5" s="34">
        <f t="shared" si="0"/>
        <v>24</v>
      </c>
      <c r="E5" s="2">
        <v>2</v>
      </c>
      <c r="F5" s="2">
        <v>2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/>
      <c r="M5" s="2"/>
      <c r="N5" s="76">
        <v>46132</v>
      </c>
      <c r="O5" s="77"/>
      <c r="P5" s="77"/>
      <c r="Q5" s="78"/>
      <c r="R5" s="2"/>
      <c r="S5" s="2"/>
    </row>
    <row r="6" spans="1:21" x14ac:dyDescent="0.25">
      <c r="A6" s="7" t="s">
        <v>33</v>
      </c>
      <c r="B6" s="2">
        <v>195</v>
      </c>
      <c r="C6" s="2">
        <v>9240</v>
      </c>
      <c r="D6" s="34">
        <f t="shared" si="0"/>
        <v>24</v>
      </c>
      <c r="E6" s="2">
        <v>2</v>
      </c>
      <c r="F6" s="2">
        <v>2</v>
      </c>
      <c r="G6" s="2">
        <v>4</v>
      </c>
      <c r="H6" s="2">
        <v>4</v>
      </c>
      <c r="I6" s="2">
        <v>4</v>
      </c>
      <c r="J6" s="2">
        <v>4</v>
      </c>
      <c r="K6" s="2">
        <v>4</v>
      </c>
      <c r="L6" s="2"/>
      <c r="M6" s="2"/>
      <c r="N6" s="76">
        <v>46132</v>
      </c>
      <c r="O6" s="77"/>
      <c r="P6" s="77"/>
      <c r="Q6" s="78"/>
      <c r="R6" s="2"/>
      <c r="S6" s="2"/>
    </row>
    <row r="7" spans="1:21" x14ac:dyDescent="0.25">
      <c r="A7" s="7" t="s">
        <v>33</v>
      </c>
      <c r="B7" s="2">
        <v>196</v>
      </c>
      <c r="C7" s="2">
        <v>9248</v>
      </c>
      <c r="D7" s="34">
        <f t="shared" si="0"/>
        <v>24</v>
      </c>
      <c r="E7" s="2">
        <v>2</v>
      </c>
      <c r="F7" s="2">
        <v>2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/>
      <c r="M7" s="2"/>
      <c r="N7" s="76">
        <v>46132</v>
      </c>
      <c r="O7" s="77"/>
      <c r="P7" s="77"/>
      <c r="Q7" s="78"/>
      <c r="R7" s="2"/>
      <c r="S7" s="2"/>
    </row>
    <row r="8" spans="1:21" x14ac:dyDescent="0.25">
      <c r="A8" s="7" t="s">
        <v>33</v>
      </c>
      <c r="B8" s="2">
        <v>197</v>
      </c>
      <c r="C8" s="2">
        <v>9205</v>
      </c>
      <c r="D8" s="34">
        <f t="shared" si="0"/>
        <v>24</v>
      </c>
      <c r="E8" s="2">
        <v>2</v>
      </c>
      <c r="F8" s="2">
        <v>2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/>
      <c r="M8" s="2"/>
      <c r="N8" s="76">
        <v>46132</v>
      </c>
      <c r="O8" s="77"/>
      <c r="P8" s="77"/>
      <c r="Q8" s="78"/>
      <c r="R8" s="2"/>
      <c r="S8" s="2"/>
    </row>
    <row r="9" spans="1:21" x14ac:dyDescent="0.25">
      <c r="A9" s="7" t="s">
        <v>33</v>
      </c>
      <c r="B9" s="2">
        <v>198</v>
      </c>
      <c r="C9" s="2">
        <v>9218</v>
      </c>
      <c r="D9" s="34">
        <f t="shared" si="0"/>
        <v>24</v>
      </c>
      <c r="E9" s="2">
        <v>2</v>
      </c>
      <c r="F9" s="2">
        <v>2</v>
      </c>
      <c r="G9" s="2">
        <v>4</v>
      </c>
      <c r="H9" s="2">
        <v>4</v>
      </c>
      <c r="I9" s="2">
        <v>4</v>
      </c>
      <c r="J9" s="2">
        <v>4</v>
      </c>
      <c r="K9" s="2">
        <v>4</v>
      </c>
      <c r="L9" s="2"/>
      <c r="M9" s="2"/>
      <c r="N9" s="76">
        <v>46132</v>
      </c>
      <c r="O9" s="77"/>
      <c r="P9" s="77"/>
      <c r="Q9" s="78"/>
      <c r="R9" s="2"/>
      <c r="S9" s="2"/>
    </row>
    <row r="10" spans="1:21" x14ac:dyDescent="0.25">
      <c r="A10" s="7" t="s">
        <v>33</v>
      </c>
      <c r="B10" s="2">
        <v>199</v>
      </c>
      <c r="C10" s="2">
        <v>2407</v>
      </c>
      <c r="D10" s="34">
        <f t="shared" si="0"/>
        <v>24</v>
      </c>
      <c r="E10" s="2">
        <v>2</v>
      </c>
      <c r="F10" s="2">
        <v>2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/>
      <c r="M10" s="2"/>
      <c r="N10" s="76">
        <v>46132</v>
      </c>
      <c r="O10" s="77"/>
      <c r="P10" s="77"/>
      <c r="Q10" s="78"/>
      <c r="R10" s="2"/>
      <c r="S10" s="2"/>
    </row>
    <row r="11" spans="1:21" x14ac:dyDescent="0.25">
      <c r="A11" s="7" t="s">
        <v>33</v>
      </c>
      <c r="B11" s="2">
        <v>200</v>
      </c>
      <c r="C11" s="2">
        <v>9245</v>
      </c>
      <c r="D11" s="34">
        <f t="shared" si="0"/>
        <v>24</v>
      </c>
      <c r="E11" s="2">
        <v>2</v>
      </c>
      <c r="F11" s="2">
        <v>2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/>
      <c r="M11" s="2"/>
      <c r="N11" s="76">
        <v>46132</v>
      </c>
      <c r="O11" s="77"/>
      <c r="P11" s="77"/>
      <c r="Q11" s="78"/>
      <c r="R11" s="2"/>
      <c r="S11" s="2"/>
    </row>
    <row r="12" spans="1:21" x14ac:dyDescent="0.25">
      <c r="A12" s="7" t="s">
        <v>33</v>
      </c>
      <c r="B12" s="2">
        <v>201</v>
      </c>
      <c r="C12" s="2">
        <v>9266</v>
      </c>
      <c r="D12" s="34">
        <f t="shared" si="0"/>
        <v>24</v>
      </c>
      <c r="E12" s="2">
        <v>2</v>
      </c>
      <c r="F12" s="2">
        <v>2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/>
      <c r="M12" s="2"/>
      <c r="N12" s="76">
        <v>46132</v>
      </c>
      <c r="O12" s="77"/>
      <c r="P12" s="77"/>
      <c r="Q12" s="78"/>
      <c r="R12" s="2"/>
      <c r="S12" s="2"/>
    </row>
    <row r="13" spans="1:21" x14ac:dyDescent="0.25">
      <c r="A13" s="7" t="s">
        <v>68</v>
      </c>
      <c r="B13" s="2">
        <v>216</v>
      </c>
      <c r="C13" s="2">
        <v>804</v>
      </c>
      <c r="D13" s="34">
        <f t="shared" si="0"/>
        <v>24</v>
      </c>
      <c r="E13" s="2">
        <v>2</v>
      </c>
      <c r="F13" s="2">
        <v>2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L13" s="2"/>
      <c r="M13" s="2"/>
      <c r="N13" s="76">
        <v>46134</v>
      </c>
      <c r="O13" s="77"/>
      <c r="P13" s="77"/>
      <c r="Q13" s="78"/>
      <c r="R13" s="79" t="s">
        <v>25</v>
      </c>
      <c r="S13" s="78"/>
    </row>
    <row r="14" spans="1:21" x14ac:dyDescent="0.25">
      <c r="A14" s="11"/>
      <c r="B14" s="4"/>
      <c r="C14" s="4"/>
      <c r="D14" s="36">
        <f>SUM(D3:D13)</f>
        <v>264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1" ht="18.75" x14ac:dyDescent="0.25">
      <c r="A15" s="63" t="s">
        <v>225</v>
      </c>
      <c r="B15" s="63"/>
      <c r="C15" s="63"/>
      <c r="D15" s="63"/>
      <c r="E15" s="63" t="s">
        <v>4</v>
      </c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84" t="s">
        <v>213</v>
      </c>
      <c r="T15" s="62" t="s">
        <v>6</v>
      </c>
      <c r="U15" s="62"/>
    </row>
    <row r="16" spans="1:21" x14ac:dyDescent="0.25">
      <c r="A16" s="22" t="s">
        <v>0</v>
      </c>
      <c r="B16" s="22" t="s">
        <v>1</v>
      </c>
      <c r="C16" s="22" t="s">
        <v>3</v>
      </c>
      <c r="D16" s="23" t="s">
        <v>2</v>
      </c>
      <c r="E16" s="22">
        <v>15</v>
      </c>
      <c r="F16" s="22">
        <v>15.5</v>
      </c>
      <c r="G16" s="22">
        <v>16</v>
      </c>
      <c r="H16" s="22">
        <v>16.5</v>
      </c>
      <c r="I16" s="22">
        <v>17</v>
      </c>
      <c r="J16" s="22">
        <v>17.5</v>
      </c>
      <c r="K16" s="22">
        <v>18</v>
      </c>
      <c r="L16" s="22">
        <v>18.5</v>
      </c>
      <c r="M16" s="22">
        <v>19</v>
      </c>
      <c r="N16" s="22">
        <v>19.5</v>
      </c>
      <c r="O16" s="22">
        <v>20</v>
      </c>
      <c r="P16" s="22">
        <v>20.5</v>
      </c>
      <c r="Q16" s="22">
        <v>21</v>
      </c>
      <c r="R16" s="22">
        <v>21.5</v>
      </c>
      <c r="S16" s="85"/>
      <c r="T16" s="22" t="s">
        <v>9</v>
      </c>
      <c r="U16" s="22" t="s">
        <v>10</v>
      </c>
    </row>
    <row r="17" spans="1:21" x14ac:dyDescent="0.25">
      <c r="A17" s="7" t="s">
        <v>88</v>
      </c>
      <c r="B17" s="2">
        <v>202</v>
      </c>
      <c r="C17" s="2">
        <v>9201</v>
      </c>
      <c r="D17" s="34">
        <f>SUM(E17:R17)</f>
        <v>12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/>
      <c r="L17" s="2"/>
      <c r="M17" s="2"/>
      <c r="N17" s="2"/>
      <c r="O17" s="2"/>
      <c r="P17" s="2"/>
      <c r="Q17" s="2"/>
      <c r="R17" s="2"/>
      <c r="S17" s="3">
        <v>46132</v>
      </c>
      <c r="T17" s="10" t="s">
        <v>53</v>
      </c>
      <c r="U17" s="10" t="s">
        <v>53</v>
      </c>
    </row>
    <row r="18" spans="1:21" x14ac:dyDescent="0.25">
      <c r="A18" s="7" t="s">
        <v>88</v>
      </c>
      <c r="B18" s="2">
        <v>203</v>
      </c>
      <c r="C18" s="2">
        <v>9219</v>
      </c>
      <c r="D18" s="34">
        <f t="shared" ref="D18:D35" si="1">SUM(E18:R18)</f>
        <v>24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2"/>
      <c r="M18" s="2">
        <v>2</v>
      </c>
      <c r="N18" s="2">
        <v>2</v>
      </c>
      <c r="O18" s="2">
        <v>2</v>
      </c>
      <c r="P18" s="2">
        <v>2</v>
      </c>
      <c r="Q18" s="2">
        <v>2</v>
      </c>
      <c r="R18" s="2"/>
      <c r="S18" s="3">
        <v>46132</v>
      </c>
      <c r="T18" s="10" t="s">
        <v>53</v>
      </c>
      <c r="U18" s="10" t="s">
        <v>53</v>
      </c>
    </row>
    <row r="19" spans="1:21" x14ac:dyDescent="0.25">
      <c r="A19" s="7" t="s">
        <v>45</v>
      </c>
      <c r="B19" s="2">
        <v>205</v>
      </c>
      <c r="C19" s="2">
        <v>9271</v>
      </c>
      <c r="D19" s="34">
        <f t="shared" si="1"/>
        <v>48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  <c r="L19" s="2">
        <v>2</v>
      </c>
      <c r="M19" s="2">
        <v>4</v>
      </c>
      <c r="N19" s="2">
        <v>2</v>
      </c>
      <c r="O19" s="2">
        <v>4</v>
      </c>
      <c r="P19" s="2">
        <v>2</v>
      </c>
      <c r="Q19" s="2">
        <v>4</v>
      </c>
      <c r="R19" s="2">
        <v>2</v>
      </c>
      <c r="S19" s="3">
        <v>46134</v>
      </c>
      <c r="T19" s="10" t="s">
        <v>25</v>
      </c>
      <c r="U19" s="10" t="s">
        <v>25</v>
      </c>
    </row>
    <row r="20" spans="1:21" x14ac:dyDescent="0.25">
      <c r="A20" s="7" t="s">
        <v>45</v>
      </c>
      <c r="B20" s="2">
        <v>206</v>
      </c>
      <c r="C20" s="2">
        <v>9271</v>
      </c>
      <c r="D20" s="34">
        <f t="shared" si="1"/>
        <v>48</v>
      </c>
      <c r="E20" s="2">
        <v>4</v>
      </c>
      <c r="F20" s="2">
        <v>4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  <c r="L20" s="2">
        <v>2</v>
      </c>
      <c r="M20" s="2">
        <v>4</v>
      </c>
      <c r="N20" s="2">
        <v>2</v>
      </c>
      <c r="O20" s="2">
        <v>4</v>
      </c>
      <c r="P20" s="2">
        <v>2</v>
      </c>
      <c r="Q20" s="2">
        <v>4</v>
      </c>
      <c r="R20" s="2">
        <v>2</v>
      </c>
      <c r="S20" s="3">
        <v>46134</v>
      </c>
      <c r="T20" s="10"/>
      <c r="U20" s="10"/>
    </row>
    <row r="21" spans="1:21" x14ac:dyDescent="0.25">
      <c r="A21" s="7" t="s">
        <v>45</v>
      </c>
      <c r="B21" s="2">
        <v>207</v>
      </c>
      <c r="C21" s="2">
        <v>2601</v>
      </c>
      <c r="D21" s="34">
        <f t="shared" si="1"/>
        <v>48</v>
      </c>
      <c r="E21" s="2">
        <v>4</v>
      </c>
      <c r="F21" s="2">
        <v>4</v>
      </c>
      <c r="G21" s="2">
        <v>4</v>
      </c>
      <c r="H21" s="2">
        <v>4</v>
      </c>
      <c r="I21" s="2">
        <v>4</v>
      </c>
      <c r="J21" s="2">
        <v>4</v>
      </c>
      <c r="K21" s="2">
        <v>4</v>
      </c>
      <c r="L21" s="2">
        <v>2</v>
      </c>
      <c r="M21" s="2">
        <v>4</v>
      </c>
      <c r="N21" s="2">
        <v>2</v>
      </c>
      <c r="O21" s="2">
        <v>4</v>
      </c>
      <c r="P21" s="2">
        <v>2</v>
      </c>
      <c r="Q21" s="2">
        <v>4</v>
      </c>
      <c r="R21" s="2">
        <v>2</v>
      </c>
      <c r="S21" s="3">
        <v>46134</v>
      </c>
      <c r="T21" s="10" t="s">
        <v>25</v>
      </c>
      <c r="U21" s="10" t="s">
        <v>25</v>
      </c>
    </row>
    <row r="22" spans="1:21" x14ac:dyDescent="0.25">
      <c r="A22" s="7" t="s">
        <v>45</v>
      </c>
      <c r="B22" s="2">
        <v>208</v>
      </c>
      <c r="C22" s="2">
        <v>2601</v>
      </c>
      <c r="D22" s="34">
        <f t="shared" si="1"/>
        <v>48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2</v>
      </c>
      <c r="M22" s="2">
        <v>4</v>
      </c>
      <c r="N22" s="2">
        <v>2</v>
      </c>
      <c r="O22" s="2">
        <v>4</v>
      </c>
      <c r="P22" s="2">
        <v>2</v>
      </c>
      <c r="Q22" s="2">
        <v>4</v>
      </c>
      <c r="R22" s="2">
        <v>2</v>
      </c>
      <c r="S22" s="3">
        <v>46134</v>
      </c>
      <c r="T22" s="10" t="s">
        <v>25</v>
      </c>
      <c r="U22" s="10"/>
    </row>
    <row r="23" spans="1:21" x14ac:dyDescent="0.25">
      <c r="A23" s="7" t="s">
        <v>45</v>
      </c>
      <c r="B23" s="2">
        <v>209</v>
      </c>
      <c r="C23" s="2">
        <v>9270</v>
      </c>
      <c r="D23" s="34">
        <f t="shared" si="1"/>
        <v>48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4</v>
      </c>
      <c r="K23" s="2">
        <v>4</v>
      </c>
      <c r="L23" s="2">
        <v>2</v>
      </c>
      <c r="M23" s="2">
        <v>4</v>
      </c>
      <c r="N23" s="2">
        <v>2</v>
      </c>
      <c r="O23" s="2">
        <v>4</v>
      </c>
      <c r="P23" s="2">
        <v>2</v>
      </c>
      <c r="Q23" s="2">
        <v>4</v>
      </c>
      <c r="R23" s="2">
        <v>2</v>
      </c>
      <c r="S23" s="3">
        <v>46134</v>
      </c>
      <c r="T23" s="2"/>
      <c r="U23" s="2"/>
    </row>
    <row r="24" spans="1:21" x14ac:dyDescent="0.25">
      <c r="A24" s="7" t="s">
        <v>45</v>
      </c>
      <c r="B24" s="2">
        <v>210</v>
      </c>
      <c r="C24" s="2">
        <v>9270</v>
      </c>
      <c r="D24" s="34">
        <f t="shared" si="1"/>
        <v>48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2">
        <v>4</v>
      </c>
      <c r="K24" s="2">
        <v>4</v>
      </c>
      <c r="L24" s="2">
        <v>2</v>
      </c>
      <c r="M24" s="2">
        <v>4</v>
      </c>
      <c r="N24" s="2">
        <v>2</v>
      </c>
      <c r="O24" s="2">
        <v>4</v>
      </c>
      <c r="P24" s="2">
        <v>2</v>
      </c>
      <c r="Q24" s="2">
        <v>4</v>
      </c>
      <c r="R24" s="2">
        <v>2</v>
      </c>
      <c r="S24" s="3">
        <v>46134</v>
      </c>
      <c r="T24" s="2" t="s">
        <v>53</v>
      </c>
      <c r="U24" s="2"/>
    </row>
    <row r="25" spans="1:21" x14ac:dyDescent="0.25">
      <c r="A25" s="7" t="s">
        <v>45</v>
      </c>
      <c r="B25" s="2">
        <v>211</v>
      </c>
      <c r="C25" s="2">
        <v>9272</v>
      </c>
      <c r="D25" s="34">
        <f t="shared" si="1"/>
        <v>48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4</v>
      </c>
      <c r="L25" s="2">
        <v>2</v>
      </c>
      <c r="M25" s="2">
        <v>4</v>
      </c>
      <c r="N25" s="2">
        <v>2</v>
      </c>
      <c r="O25" s="2">
        <v>4</v>
      </c>
      <c r="P25" s="2">
        <v>2</v>
      </c>
      <c r="Q25" s="2">
        <v>4</v>
      </c>
      <c r="R25" s="2">
        <v>2</v>
      </c>
      <c r="S25" s="3">
        <v>46134</v>
      </c>
      <c r="T25" s="2" t="s">
        <v>25</v>
      </c>
      <c r="U25" s="2"/>
    </row>
    <row r="26" spans="1:21" x14ac:dyDescent="0.25">
      <c r="A26" s="7" t="s">
        <v>45</v>
      </c>
      <c r="B26" s="2">
        <v>212</v>
      </c>
      <c r="C26" s="2">
        <v>9272</v>
      </c>
      <c r="D26" s="34">
        <f t="shared" si="1"/>
        <v>48</v>
      </c>
      <c r="E26" s="2">
        <v>4</v>
      </c>
      <c r="F26" s="2">
        <v>4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2</v>
      </c>
      <c r="M26" s="2">
        <v>4</v>
      </c>
      <c r="N26" s="2">
        <v>2</v>
      </c>
      <c r="O26" s="2">
        <v>4</v>
      </c>
      <c r="P26" s="2">
        <v>2</v>
      </c>
      <c r="Q26" s="2">
        <v>4</v>
      </c>
      <c r="R26" s="2">
        <v>2</v>
      </c>
      <c r="S26" s="3">
        <v>46134</v>
      </c>
      <c r="T26" s="2"/>
      <c r="U26" s="2"/>
    </row>
    <row r="27" spans="1:21" x14ac:dyDescent="0.25">
      <c r="A27" s="7" t="s">
        <v>45</v>
      </c>
      <c r="B27" s="2">
        <v>213</v>
      </c>
      <c r="C27" s="2">
        <v>9273</v>
      </c>
      <c r="D27" s="34">
        <f t="shared" si="1"/>
        <v>48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  <c r="L27" s="2">
        <v>2</v>
      </c>
      <c r="M27" s="2">
        <v>4</v>
      </c>
      <c r="N27" s="2">
        <v>2</v>
      </c>
      <c r="O27" s="2">
        <v>4</v>
      </c>
      <c r="P27" s="2">
        <v>2</v>
      </c>
      <c r="Q27" s="2">
        <v>4</v>
      </c>
      <c r="R27" s="2">
        <v>2</v>
      </c>
      <c r="S27" s="3">
        <v>46134</v>
      </c>
      <c r="T27" s="2"/>
      <c r="U27" s="2"/>
    </row>
    <row r="28" spans="1:21" x14ac:dyDescent="0.25">
      <c r="A28" s="7" t="s">
        <v>45</v>
      </c>
      <c r="B28" s="2">
        <v>214</v>
      </c>
      <c r="C28" s="2">
        <v>9276</v>
      </c>
      <c r="D28" s="34">
        <f t="shared" si="1"/>
        <v>48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2</v>
      </c>
      <c r="M28" s="2">
        <v>4</v>
      </c>
      <c r="N28" s="2">
        <v>2</v>
      </c>
      <c r="O28" s="2">
        <v>4</v>
      </c>
      <c r="P28" s="2">
        <v>2</v>
      </c>
      <c r="Q28" s="2">
        <v>4</v>
      </c>
      <c r="R28" s="2">
        <v>2</v>
      </c>
      <c r="S28" s="3">
        <v>46134</v>
      </c>
      <c r="T28" s="2"/>
      <c r="U28" s="2"/>
    </row>
    <row r="29" spans="1:21" x14ac:dyDescent="0.25">
      <c r="A29" s="7" t="s">
        <v>68</v>
      </c>
      <c r="B29" s="2">
        <v>215</v>
      </c>
      <c r="C29" s="2">
        <v>804</v>
      </c>
      <c r="D29" s="34">
        <f t="shared" si="1"/>
        <v>24</v>
      </c>
      <c r="E29" s="2">
        <v>2</v>
      </c>
      <c r="F29" s="2">
        <v>2</v>
      </c>
      <c r="G29" s="2">
        <v>2</v>
      </c>
      <c r="H29" s="2">
        <v>2</v>
      </c>
      <c r="I29" s="2">
        <v>2</v>
      </c>
      <c r="J29" s="2">
        <v>2</v>
      </c>
      <c r="K29" s="2">
        <v>2</v>
      </c>
      <c r="L29" s="2">
        <v>1</v>
      </c>
      <c r="M29" s="2">
        <v>2</v>
      </c>
      <c r="N29" s="2">
        <v>1</v>
      </c>
      <c r="O29" s="2">
        <v>2</v>
      </c>
      <c r="P29" s="2">
        <v>1</v>
      </c>
      <c r="Q29" s="2">
        <v>2</v>
      </c>
      <c r="R29" s="2">
        <v>1</v>
      </c>
      <c r="S29" s="3">
        <v>46134</v>
      </c>
      <c r="T29" s="2"/>
      <c r="U29" s="2"/>
    </row>
    <row r="30" spans="1:21" x14ac:dyDescent="0.25">
      <c r="A30" s="7" t="s">
        <v>60</v>
      </c>
      <c r="B30" s="2">
        <v>226</v>
      </c>
      <c r="C30" s="2">
        <v>9208</v>
      </c>
      <c r="D30" s="34">
        <f t="shared" si="1"/>
        <v>40</v>
      </c>
      <c r="E30" s="2">
        <v>2</v>
      </c>
      <c r="F30" s="2">
        <v>2</v>
      </c>
      <c r="G30" s="2">
        <v>3</v>
      </c>
      <c r="H30" s="2">
        <v>3</v>
      </c>
      <c r="I30" s="2">
        <v>4</v>
      </c>
      <c r="J30" s="2">
        <v>4</v>
      </c>
      <c r="K30" s="2">
        <v>3</v>
      </c>
      <c r="L30" s="2">
        <v>3</v>
      </c>
      <c r="M30" s="2">
        <v>3</v>
      </c>
      <c r="N30" s="2">
        <v>2</v>
      </c>
      <c r="O30" s="2">
        <v>2</v>
      </c>
      <c r="P30" s="2">
        <v>3</v>
      </c>
      <c r="Q30" s="2">
        <v>3</v>
      </c>
      <c r="R30" s="2">
        <v>3</v>
      </c>
      <c r="S30" s="3">
        <v>46135</v>
      </c>
      <c r="T30" s="2"/>
      <c r="U30" s="2"/>
    </row>
    <row r="31" spans="1:21" x14ac:dyDescent="0.25">
      <c r="A31" s="7" t="s">
        <v>60</v>
      </c>
      <c r="B31" s="2">
        <v>227</v>
      </c>
      <c r="C31" s="2">
        <v>9225</v>
      </c>
      <c r="D31" s="34">
        <f t="shared" si="1"/>
        <v>40</v>
      </c>
      <c r="E31" s="2">
        <v>2</v>
      </c>
      <c r="F31" s="2">
        <v>2</v>
      </c>
      <c r="G31" s="2">
        <v>3</v>
      </c>
      <c r="H31" s="2">
        <v>3</v>
      </c>
      <c r="I31" s="2">
        <v>4</v>
      </c>
      <c r="J31" s="2">
        <v>4</v>
      </c>
      <c r="K31" s="2">
        <v>3</v>
      </c>
      <c r="L31" s="2">
        <v>3</v>
      </c>
      <c r="M31" s="2">
        <v>3</v>
      </c>
      <c r="N31" s="2">
        <v>2</v>
      </c>
      <c r="O31" s="2">
        <v>2</v>
      </c>
      <c r="P31" s="2">
        <v>3</v>
      </c>
      <c r="Q31" s="2">
        <v>3</v>
      </c>
      <c r="R31" s="2">
        <v>3</v>
      </c>
      <c r="S31" s="3">
        <v>46135</v>
      </c>
      <c r="T31" s="2"/>
      <c r="U31" s="2"/>
    </row>
    <row r="32" spans="1:21" x14ac:dyDescent="0.25">
      <c r="A32" s="7" t="s">
        <v>60</v>
      </c>
      <c r="B32" s="2">
        <v>228</v>
      </c>
      <c r="C32" s="2">
        <v>9209</v>
      </c>
      <c r="D32" s="34">
        <f t="shared" si="1"/>
        <v>40</v>
      </c>
      <c r="E32" s="2">
        <v>2</v>
      </c>
      <c r="F32" s="2">
        <v>2</v>
      </c>
      <c r="G32" s="2">
        <v>3</v>
      </c>
      <c r="H32" s="2">
        <v>3</v>
      </c>
      <c r="I32" s="2">
        <v>4</v>
      </c>
      <c r="J32" s="2">
        <v>4</v>
      </c>
      <c r="K32" s="2">
        <v>3</v>
      </c>
      <c r="L32" s="2">
        <v>3</v>
      </c>
      <c r="M32" s="2">
        <v>3</v>
      </c>
      <c r="N32" s="2">
        <v>2</v>
      </c>
      <c r="O32" s="2">
        <v>2</v>
      </c>
      <c r="P32" s="2">
        <v>3</v>
      </c>
      <c r="Q32" s="2">
        <v>3</v>
      </c>
      <c r="R32" s="2">
        <v>3</v>
      </c>
      <c r="S32" s="3">
        <v>46135</v>
      </c>
      <c r="T32" s="2"/>
      <c r="U32" s="2"/>
    </row>
    <row r="33" spans="1:21" x14ac:dyDescent="0.25">
      <c r="A33" s="7" t="s">
        <v>74</v>
      </c>
      <c r="B33" s="2">
        <v>232</v>
      </c>
      <c r="C33" s="2">
        <v>9220</v>
      </c>
      <c r="D33" s="34">
        <f t="shared" si="1"/>
        <v>30</v>
      </c>
      <c r="E33" s="2">
        <v>2</v>
      </c>
      <c r="F33" s="2">
        <v>2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2</v>
      </c>
      <c r="M33" s="2">
        <v>2</v>
      </c>
      <c r="N33" s="2">
        <v>2</v>
      </c>
      <c r="O33" s="2">
        <v>2</v>
      </c>
      <c r="P33" s="2">
        <v>2</v>
      </c>
      <c r="Q33" s="2">
        <v>3</v>
      </c>
      <c r="R33" s="2">
        <v>3</v>
      </c>
      <c r="S33" s="3">
        <v>46136</v>
      </c>
      <c r="T33" s="2" t="s">
        <v>53</v>
      </c>
      <c r="U33" s="2" t="s">
        <v>53</v>
      </c>
    </row>
    <row r="34" spans="1:21" x14ac:dyDescent="0.25">
      <c r="A34" s="7" t="s">
        <v>74</v>
      </c>
      <c r="B34" s="2">
        <v>233</v>
      </c>
      <c r="C34" s="2">
        <v>9220</v>
      </c>
      <c r="D34" s="34">
        <f t="shared" si="1"/>
        <v>30</v>
      </c>
      <c r="E34" s="2">
        <v>2</v>
      </c>
      <c r="F34" s="2">
        <v>2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2</v>
      </c>
      <c r="M34" s="2">
        <v>2</v>
      </c>
      <c r="N34" s="2">
        <v>2</v>
      </c>
      <c r="O34" s="2">
        <v>2</v>
      </c>
      <c r="P34" s="2">
        <v>2</v>
      </c>
      <c r="Q34" s="2">
        <v>3</v>
      </c>
      <c r="R34" s="2">
        <v>3</v>
      </c>
      <c r="S34" s="3">
        <v>46136</v>
      </c>
      <c r="T34" s="2"/>
      <c r="U34" s="2"/>
    </row>
    <row r="35" spans="1:21" x14ac:dyDescent="0.25">
      <c r="A35" s="7" t="s">
        <v>74</v>
      </c>
      <c r="B35" s="2">
        <v>234</v>
      </c>
      <c r="C35" s="2">
        <v>9212</v>
      </c>
      <c r="D35" s="34">
        <f t="shared" si="1"/>
        <v>30</v>
      </c>
      <c r="E35" s="2">
        <v>2</v>
      </c>
      <c r="F35" s="2">
        <v>2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2</v>
      </c>
      <c r="M35" s="2">
        <v>2</v>
      </c>
      <c r="N35" s="2">
        <v>2</v>
      </c>
      <c r="O35" s="2">
        <v>2</v>
      </c>
      <c r="P35" s="2">
        <v>2</v>
      </c>
      <c r="Q35" s="2">
        <v>3</v>
      </c>
      <c r="R35" s="2">
        <v>3</v>
      </c>
      <c r="S35" s="3">
        <v>46501</v>
      </c>
      <c r="T35" s="2"/>
      <c r="U35" s="2"/>
    </row>
    <row r="36" spans="1:21" x14ac:dyDescent="0.25">
      <c r="A36" s="11"/>
      <c r="B36" s="4"/>
      <c r="C36" s="4"/>
      <c r="D36" s="34">
        <f>SUM(D17:D35)</f>
        <v>750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A37" s="11"/>
      <c r="B37" s="4"/>
      <c r="C37" s="48">
        <f>D36+D14</f>
        <v>1014</v>
      </c>
      <c r="D37" s="3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5">
      <c r="A38" s="11"/>
      <c r="B38" s="4"/>
      <c r="C38" s="4"/>
      <c r="D38" s="3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11"/>
      <c r="B39" s="4"/>
      <c r="C39" s="4"/>
      <c r="D39" s="3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11"/>
      <c r="B40" s="4"/>
      <c r="C40" s="4"/>
      <c r="D40" s="3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5">
      <c r="A41" s="11"/>
      <c r="B41" s="4"/>
      <c r="C41" s="4"/>
      <c r="D41" s="3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5">
      <c r="A42" s="11"/>
      <c r="B42" s="4"/>
      <c r="C42" s="4"/>
      <c r="D42" s="3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21" x14ac:dyDescent="0.25">
      <c r="A43" s="11"/>
      <c r="B43" s="4"/>
      <c r="C43" s="4"/>
      <c r="D43" s="3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21" x14ac:dyDescent="0.25">
      <c r="A44" s="11"/>
      <c r="B44" s="4"/>
      <c r="C44" s="4"/>
      <c r="D44" s="3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21" x14ac:dyDescent="0.25">
      <c r="A45" s="11"/>
      <c r="B45" s="4"/>
      <c r="C45" s="4"/>
      <c r="D45" s="3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21" x14ac:dyDescent="0.25">
      <c r="A46" s="11"/>
      <c r="B46" s="4"/>
      <c r="C46" s="4"/>
      <c r="D46" s="3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21" x14ac:dyDescent="0.25">
      <c r="A47" s="11"/>
      <c r="B47" s="4"/>
      <c r="C47" s="4"/>
      <c r="D47" s="3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21" x14ac:dyDescent="0.25">
      <c r="A48" s="11"/>
      <c r="B48" s="4"/>
      <c r="C48" s="4"/>
      <c r="D48" s="3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 x14ac:dyDescent="0.25">
      <c r="A49" s="11"/>
      <c r="B49" s="4"/>
      <c r="C49" s="4"/>
      <c r="D49" s="3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x14ac:dyDescent="0.25">
      <c r="A50" s="11"/>
      <c r="B50" s="4"/>
      <c r="C50" s="4"/>
      <c r="D50" s="3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x14ac:dyDescent="0.25">
      <c r="A51" s="11"/>
      <c r="B51" s="4"/>
      <c r="C51" s="4"/>
      <c r="D51" s="3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x14ac:dyDescent="0.25">
      <c r="A52" s="11"/>
      <c r="B52" s="4"/>
      <c r="C52" s="4"/>
      <c r="D52" s="3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x14ac:dyDescent="0.25">
      <c r="A53" s="11"/>
      <c r="B53" s="4"/>
      <c r="C53" s="4"/>
      <c r="D53" s="3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 x14ac:dyDescent="0.25">
      <c r="A54" s="11"/>
      <c r="B54" s="4"/>
      <c r="C54" s="4"/>
      <c r="D54" s="3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 x14ac:dyDescent="0.25">
      <c r="A55" s="11"/>
      <c r="B55" s="4"/>
      <c r="C55" s="4"/>
      <c r="D55" s="3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x14ac:dyDescent="0.25">
      <c r="A56" s="11"/>
      <c r="B56" s="4"/>
      <c r="C56" s="4"/>
      <c r="D56" s="3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 x14ac:dyDescent="0.25">
      <c r="A57" s="11"/>
      <c r="B57" s="4"/>
      <c r="C57" s="4"/>
      <c r="D57" s="3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x14ac:dyDescent="0.25">
      <c r="A58" s="11"/>
      <c r="B58" s="4"/>
      <c r="C58" s="4"/>
      <c r="D58" s="3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 x14ac:dyDescent="0.25">
      <c r="A59" s="11"/>
      <c r="B59" s="4"/>
      <c r="C59" s="4"/>
      <c r="D59" s="3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x14ac:dyDescent="0.25">
      <c r="A60" s="11"/>
      <c r="B60" s="4"/>
      <c r="C60" s="4"/>
      <c r="D60" s="3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 x14ac:dyDescent="0.25">
      <c r="A61" s="11"/>
      <c r="B61" s="4"/>
      <c r="C61" s="4"/>
      <c r="D61" s="3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x14ac:dyDescent="0.25">
      <c r="A62" s="11"/>
      <c r="B62" s="4"/>
      <c r="C62" s="4"/>
      <c r="D62" s="3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x14ac:dyDescent="0.25">
      <c r="A63" s="11"/>
      <c r="B63" s="4"/>
      <c r="C63" s="4"/>
      <c r="D63" s="3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x14ac:dyDescent="0.25">
      <c r="A64" s="11"/>
      <c r="B64" s="4"/>
      <c r="C64" s="4"/>
      <c r="D64" s="3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 x14ac:dyDescent="0.25">
      <c r="A65" s="11"/>
      <c r="B65" s="4"/>
      <c r="C65" s="4"/>
      <c r="D65" s="3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x14ac:dyDescent="0.25">
      <c r="A66" s="11"/>
      <c r="B66" s="4"/>
      <c r="C66" s="4"/>
      <c r="D66" s="3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 x14ac:dyDescent="0.25">
      <c r="A67" s="11"/>
      <c r="B67" s="4"/>
      <c r="C67" s="4"/>
      <c r="D67" s="3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 x14ac:dyDescent="0.25">
      <c r="A68" s="11"/>
      <c r="B68" s="4"/>
      <c r="C68" s="4"/>
      <c r="D68" s="3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 x14ac:dyDescent="0.25">
      <c r="A69" s="11"/>
      <c r="B69" s="4"/>
      <c r="C69" s="4"/>
      <c r="D69" s="3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 x14ac:dyDescent="0.25">
      <c r="A70" s="11"/>
      <c r="B70" s="4"/>
      <c r="C70" s="4"/>
      <c r="D70" s="3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 x14ac:dyDescent="0.25">
      <c r="A71" s="11"/>
      <c r="B71" s="4"/>
      <c r="C71" s="4"/>
      <c r="D71" s="3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 x14ac:dyDescent="0.25">
      <c r="A72" s="11"/>
      <c r="B72" s="4"/>
      <c r="C72" s="4"/>
      <c r="D72" s="3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 x14ac:dyDescent="0.25">
      <c r="A73" s="11"/>
      <c r="B73" s="4"/>
      <c r="C73" s="4"/>
      <c r="D73" s="3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 x14ac:dyDescent="0.25">
      <c r="A74" s="11"/>
      <c r="B74" s="4"/>
      <c r="C74" s="4"/>
      <c r="D74" s="3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 x14ac:dyDescent="0.25">
      <c r="A75" s="11"/>
      <c r="B75" s="4"/>
      <c r="C75" s="4"/>
      <c r="D75" s="3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x14ac:dyDescent="0.25">
      <c r="A76" s="11"/>
      <c r="B76" s="4"/>
      <c r="C76" s="4"/>
      <c r="D76" s="3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 x14ac:dyDescent="0.25">
      <c r="A77" s="11"/>
      <c r="B77" s="4"/>
      <c r="C77" s="4"/>
      <c r="D77" s="3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x14ac:dyDescent="0.25">
      <c r="A78" s="11"/>
      <c r="B78" s="4"/>
      <c r="C78" s="4"/>
      <c r="D78" s="3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 x14ac:dyDescent="0.25">
      <c r="A79" s="11"/>
      <c r="B79" s="4"/>
      <c r="C79" s="4"/>
      <c r="D79" s="3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 x14ac:dyDescent="0.25">
      <c r="A80" s="11"/>
      <c r="B80" s="4"/>
      <c r="C80" s="4"/>
      <c r="D80" s="3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19" x14ac:dyDescent="0.25">
      <c r="A81" s="11"/>
      <c r="B81" s="4"/>
      <c r="C81" s="4"/>
      <c r="D81" s="3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 x14ac:dyDescent="0.25">
      <c r="A82" s="11"/>
      <c r="B82" s="4"/>
      <c r="C82" s="4"/>
      <c r="D82" s="3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1:19" x14ac:dyDescent="0.25">
      <c r="A83" s="11"/>
      <c r="B83" s="4"/>
      <c r="C83" s="4"/>
      <c r="D83" s="3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 x14ac:dyDescent="0.25">
      <c r="A84" s="11"/>
      <c r="B84" s="4"/>
      <c r="C84" s="4"/>
      <c r="D84" s="3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 x14ac:dyDescent="0.25">
      <c r="A85" s="11"/>
      <c r="B85" s="4"/>
      <c r="C85" s="4"/>
      <c r="D85" s="3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 x14ac:dyDescent="0.25">
      <c r="A86" s="11"/>
      <c r="B86" s="4"/>
      <c r="C86" s="4"/>
      <c r="D86" s="3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19" x14ac:dyDescent="0.25">
      <c r="A87" s="11"/>
      <c r="B87" s="4"/>
      <c r="C87" s="4"/>
      <c r="D87" s="3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 x14ac:dyDescent="0.25">
      <c r="A88" s="11"/>
      <c r="B88" s="4"/>
      <c r="C88" s="4"/>
      <c r="D88" s="3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 x14ac:dyDescent="0.25">
      <c r="A89" s="11"/>
      <c r="B89" s="4"/>
      <c r="C89" s="4"/>
      <c r="D89" s="3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 x14ac:dyDescent="0.25">
      <c r="A90" s="11"/>
      <c r="B90" s="4"/>
      <c r="C90" s="4"/>
      <c r="D90" s="3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19" x14ac:dyDescent="0.25">
      <c r="A91" s="11"/>
      <c r="B91" s="4"/>
      <c r="C91" s="4"/>
      <c r="D91" s="3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 x14ac:dyDescent="0.25">
      <c r="A92" s="11"/>
      <c r="B92" s="4"/>
      <c r="C92" s="4"/>
      <c r="D92" s="3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1:19" x14ac:dyDescent="0.25">
      <c r="A93" s="11"/>
      <c r="B93" s="4"/>
      <c r="C93" s="4"/>
      <c r="D93" s="3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 x14ac:dyDescent="0.25">
      <c r="A94" s="11"/>
      <c r="B94" s="4"/>
      <c r="C94" s="4"/>
      <c r="D94" s="3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 x14ac:dyDescent="0.25">
      <c r="A95" s="11"/>
      <c r="B95" s="4"/>
      <c r="C95" s="4"/>
      <c r="D95" s="3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 x14ac:dyDescent="0.25">
      <c r="A96" s="11"/>
      <c r="B96" s="4"/>
      <c r="C96" s="4"/>
      <c r="D96" s="3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1:19" x14ac:dyDescent="0.25">
      <c r="A97" s="11"/>
      <c r="B97" s="4"/>
      <c r="C97" s="4"/>
      <c r="D97" s="3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 x14ac:dyDescent="0.25">
      <c r="A98" s="11"/>
      <c r="B98" s="4"/>
      <c r="C98" s="4"/>
      <c r="D98" s="3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 x14ac:dyDescent="0.25">
      <c r="A99" s="11"/>
      <c r="B99" s="4"/>
      <c r="C99" s="4"/>
      <c r="D99" s="3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 x14ac:dyDescent="0.25">
      <c r="A100" s="11"/>
      <c r="B100" s="4"/>
      <c r="C100" s="4"/>
      <c r="D100" s="3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1:19" x14ac:dyDescent="0.25">
      <c r="A101" s="11"/>
      <c r="B101" s="4"/>
      <c r="C101" s="4"/>
      <c r="D101" s="3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 x14ac:dyDescent="0.25">
      <c r="A102" s="11"/>
      <c r="B102" s="4"/>
      <c r="C102" s="4"/>
      <c r="D102" s="3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 x14ac:dyDescent="0.25">
      <c r="A103" s="11"/>
      <c r="B103" s="4"/>
      <c r="C103" s="4"/>
      <c r="D103" s="3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1:19" x14ac:dyDescent="0.25">
      <c r="A104" s="11"/>
      <c r="B104" s="4"/>
      <c r="C104" s="4"/>
      <c r="D104" s="3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 x14ac:dyDescent="0.25">
      <c r="A105" s="11"/>
      <c r="B105" s="4"/>
      <c r="C105" s="4"/>
      <c r="D105" s="3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 x14ac:dyDescent="0.25">
      <c r="A106" s="11"/>
      <c r="B106" s="4"/>
      <c r="C106" s="4"/>
      <c r="D106" s="3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1:19" x14ac:dyDescent="0.25">
      <c r="A107" s="11"/>
      <c r="B107" s="4"/>
      <c r="C107" s="4"/>
      <c r="D107" s="3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1:19" x14ac:dyDescent="0.25">
      <c r="A108" s="11"/>
      <c r="B108" s="4"/>
      <c r="C108" s="4"/>
      <c r="D108" s="3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 x14ac:dyDescent="0.25">
      <c r="A109" s="11"/>
      <c r="B109" s="4"/>
      <c r="C109" s="4"/>
      <c r="D109" s="3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1:19" x14ac:dyDescent="0.25">
      <c r="A110" s="11"/>
      <c r="B110" s="4"/>
      <c r="C110" s="4"/>
      <c r="D110" s="3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1:19" x14ac:dyDescent="0.25">
      <c r="A111" s="11"/>
      <c r="B111" s="4"/>
      <c r="C111" s="4"/>
      <c r="D111" s="3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1:19" x14ac:dyDescent="0.25">
      <c r="A112" s="11"/>
      <c r="B112" s="4"/>
      <c r="C112" s="4"/>
      <c r="D112" s="3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1:19" x14ac:dyDescent="0.25">
      <c r="A113" s="11"/>
      <c r="B113" s="4"/>
      <c r="C113" s="4"/>
      <c r="D113" s="3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 x14ac:dyDescent="0.25">
      <c r="A114" s="11"/>
      <c r="B114" s="4"/>
      <c r="C114" s="4"/>
      <c r="D114" s="3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1:19" x14ac:dyDescent="0.25">
      <c r="A115" s="11"/>
      <c r="B115" s="4"/>
      <c r="C115" s="4"/>
      <c r="D115" s="3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 x14ac:dyDescent="0.25">
      <c r="A116" s="11"/>
      <c r="B116" s="4"/>
      <c r="C116" s="4"/>
      <c r="D116" s="3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1:19" x14ac:dyDescent="0.25">
      <c r="A117" s="11"/>
      <c r="B117" s="4"/>
      <c r="C117" s="4"/>
      <c r="D117" s="3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1:19" x14ac:dyDescent="0.25">
      <c r="A118" s="11"/>
      <c r="B118" s="4"/>
      <c r="C118" s="4"/>
      <c r="D118" s="3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1:19" x14ac:dyDescent="0.25">
      <c r="A119" s="11"/>
      <c r="B119" s="4"/>
      <c r="C119" s="4"/>
      <c r="D119" s="3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1:19" x14ac:dyDescent="0.25">
      <c r="A120" s="11"/>
      <c r="B120" s="4"/>
      <c r="C120" s="4"/>
      <c r="D120" s="3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1:19" x14ac:dyDescent="0.25">
      <c r="A121" s="11"/>
      <c r="B121" s="4"/>
      <c r="C121" s="4"/>
      <c r="D121" s="3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1:19" x14ac:dyDescent="0.25">
      <c r="A122" s="11"/>
      <c r="B122" s="4"/>
      <c r="C122" s="4"/>
      <c r="D122" s="3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1:19" x14ac:dyDescent="0.25">
      <c r="A123" s="11"/>
      <c r="B123" s="4"/>
      <c r="C123" s="4"/>
      <c r="D123" s="3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1:19" x14ac:dyDescent="0.25">
      <c r="A124" s="1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1:19" x14ac:dyDescent="0.25">
      <c r="A125" s="1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1:19" x14ac:dyDescent="0.25">
      <c r="A126" s="1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1:19" x14ac:dyDescent="0.25">
      <c r="A127" s="1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1:19" x14ac:dyDescent="0.25">
      <c r="A128" s="1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1:19" x14ac:dyDescent="0.25">
      <c r="A129" s="1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1:19" x14ac:dyDescent="0.25">
      <c r="A130" s="1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1:19" x14ac:dyDescent="0.25">
      <c r="A131" s="1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1:19" x14ac:dyDescent="0.25">
      <c r="A132" s="1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1:19" x14ac:dyDescent="0.25">
      <c r="A133" s="1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1:19" x14ac:dyDescent="0.25">
      <c r="A134" s="1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1:19" x14ac:dyDescent="0.25">
      <c r="A135" s="1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spans="1:19" x14ac:dyDescent="0.25">
      <c r="A136" s="1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1:19" x14ac:dyDescent="0.25">
      <c r="A137" s="1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spans="1:19" x14ac:dyDescent="0.25">
      <c r="A138" s="1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spans="1:19" x14ac:dyDescent="0.25">
      <c r="A139" s="1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1:19" x14ac:dyDescent="0.25">
      <c r="A140" s="1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1:19" x14ac:dyDescent="0.25">
      <c r="A141" s="1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1:19" x14ac:dyDescent="0.25">
      <c r="A142" s="1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1:19" x14ac:dyDescent="0.25">
      <c r="A143" s="1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1:19" x14ac:dyDescent="0.25">
      <c r="A144" s="1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1:19" x14ac:dyDescent="0.25">
      <c r="A145" s="1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1:19" x14ac:dyDescent="0.25">
      <c r="A146" s="1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1:19" x14ac:dyDescent="0.25">
      <c r="A147" s="1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1:19" x14ac:dyDescent="0.25">
      <c r="A148" s="1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1:19" x14ac:dyDescent="0.25">
      <c r="A149" s="1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1:19" x14ac:dyDescent="0.25">
      <c r="A150" s="1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19" x14ac:dyDescent="0.25">
      <c r="A151" s="1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19" x14ac:dyDescent="0.25">
      <c r="A152" s="1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19" x14ac:dyDescent="0.25">
      <c r="A153" s="1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19" x14ac:dyDescent="0.25">
      <c r="A154" s="1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1:19" x14ac:dyDescent="0.25">
      <c r="A155" s="1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1:19" x14ac:dyDescent="0.25">
      <c r="A156" s="1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1:19" x14ac:dyDescent="0.25">
      <c r="A157" s="1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1:19" x14ac:dyDescent="0.25">
      <c r="A158" s="1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1:19" x14ac:dyDescent="0.25">
      <c r="A159" s="1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1:19" x14ac:dyDescent="0.25">
      <c r="A160" s="1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1:19" x14ac:dyDescent="0.25">
      <c r="A161" s="1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19" x14ac:dyDescent="0.25">
      <c r="A162" s="1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1:19" x14ac:dyDescent="0.25">
      <c r="A163" s="1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1:19" x14ac:dyDescent="0.25">
      <c r="A164" s="1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1:19" x14ac:dyDescent="0.25">
      <c r="A165" s="1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1:19" x14ac:dyDescent="0.25">
      <c r="A166" s="1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1:19" x14ac:dyDescent="0.25">
      <c r="A167" s="1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1:19" x14ac:dyDescent="0.25">
      <c r="A168" s="1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1:19" x14ac:dyDescent="0.25">
      <c r="A169" s="1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1:19" x14ac:dyDescent="0.25">
      <c r="A170" s="1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1:19" x14ac:dyDescent="0.25">
      <c r="A171" s="1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1:19" x14ac:dyDescent="0.25">
      <c r="A172" s="1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1:19" x14ac:dyDescent="0.25">
      <c r="A173" s="1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1:19" x14ac:dyDescent="0.25">
      <c r="A174" s="1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1:19" x14ac:dyDescent="0.25">
      <c r="A175" s="1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1:19" x14ac:dyDescent="0.25">
      <c r="A176" s="1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1:19" x14ac:dyDescent="0.25">
      <c r="A177" s="1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1:19" x14ac:dyDescent="0.25">
      <c r="A178" s="1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1:19" x14ac:dyDescent="0.25">
      <c r="A179" s="1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1:19" x14ac:dyDescent="0.25">
      <c r="A180" s="1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1:19" x14ac:dyDescent="0.25">
      <c r="A181" s="1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1:19" x14ac:dyDescent="0.25">
      <c r="A182" s="1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1:19" x14ac:dyDescent="0.25">
      <c r="A183" s="1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1:19" x14ac:dyDescent="0.25">
      <c r="A184" s="1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</sheetData>
  <mergeCells count="21">
    <mergeCell ref="N9:Q9"/>
    <mergeCell ref="A1:D1"/>
    <mergeCell ref="E1:M1"/>
    <mergeCell ref="N1:Q2"/>
    <mergeCell ref="R1:S1"/>
    <mergeCell ref="R2:S2"/>
    <mergeCell ref="N3:Q3"/>
    <mergeCell ref="N4:Q4"/>
    <mergeCell ref="N5:Q5"/>
    <mergeCell ref="N6:Q6"/>
    <mergeCell ref="N7:Q7"/>
    <mergeCell ref="N8:Q8"/>
    <mergeCell ref="T15:U15"/>
    <mergeCell ref="N10:Q10"/>
    <mergeCell ref="N11:Q11"/>
    <mergeCell ref="N12:Q12"/>
    <mergeCell ref="A15:D15"/>
    <mergeCell ref="E15:R15"/>
    <mergeCell ref="S15:S16"/>
    <mergeCell ref="N13:Q13"/>
    <mergeCell ref="R13:S13"/>
  </mergeCells>
  <pageMargins left="0.7" right="0.7" top="0.75" bottom="0.75" header="0.3" footer="0.3"/>
  <ignoredErrors>
    <ignoredError sqref="D3:D13 D17:D29 D30:D32 D33:D35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47"/>
  <sheetViews>
    <sheetView topLeftCell="A17" workbookViewId="0">
      <selection activeCell="C35" sqref="C35"/>
    </sheetView>
  </sheetViews>
  <sheetFormatPr defaultColWidth="11.42578125" defaultRowHeight="15" x14ac:dyDescent="0.25"/>
  <cols>
    <col min="1" max="1" width="21" customWidth="1"/>
    <col min="5" max="5" width="4.42578125" customWidth="1"/>
    <col min="6" max="6" width="5" customWidth="1"/>
    <col min="7" max="7" width="4.7109375" customWidth="1"/>
    <col min="8" max="8" width="5.42578125" customWidth="1"/>
    <col min="9" max="9" width="4.7109375" customWidth="1"/>
    <col min="10" max="10" width="5" customWidth="1"/>
    <col min="11" max="11" width="4.7109375" customWidth="1"/>
    <col min="12" max="12" width="5.7109375" customWidth="1"/>
    <col min="13" max="13" width="5.28515625" customWidth="1"/>
    <col min="14" max="14" width="5.42578125" customWidth="1"/>
    <col min="15" max="15" width="5.7109375" customWidth="1"/>
    <col min="16" max="16" width="5.42578125" customWidth="1"/>
    <col min="17" max="17" width="4.85546875" customWidth="1"/>
    <col min="18" max="18" width="8" customWidth="1"/>
    <col min="19" max="19" width="13.7109375" customWidth="1"/>
    <col min="20" max="20" width="11.7109375" customWidth="1"/>
    <col min="21" max="21" width="12.140625" customWidth="1"/>
  </cols>
  <sheetData>
    <row r="1" spans="1:21" ht="18.75" x14ac:dyDescent="0.25">
      <c r="A1" s="63" t="s">
        <v>225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226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  <c r="T2" s="22" t="s">
        <v>9</v>
      </c>
      <c r="U2" s="22" t="s">
        <v>10</v>
      </c>
    </row>
    <row r="3" spans="1:21" x14ac:dyDescent="0.25">
      <c r="A3" s="7" t="s">
        <v>60</v>
      </c>
      <c r="B3" s="2">
        <v>235</v>
      </c>
      <c r="C3" s="2">
        <v>9201</v>
      </c>
      <c r="D3" s="34">
        <f>SUM(E3:R3)</f>
        <v>40</v>
      </c>
      <c r="E3" s="2">
        <v>2</v>
      </c>
      <c r="F3" s="2">
        <v>2</v>
      </c>
      <c r="G3" s="2">
        <v>3</v>
      </c>
      <c r="H3" s="2">
        <v>3</v>
      </c>
      <c r="I3" s="2">
        <v>4</v>
      </c>
      <c r="J3" s="2">
        <v>4</v>
      </c>
      <c r="K3" s="2">
        <v>3</v>
      </c>
      <c r="L3" s="2">
        <v>3</v>
      </c>
      <c r="M3" s="2">
        <v>3</v>
      </c>
      <c r="N3" s="2">
        <v>2</v>
      </c>
      <c r="O3" s="2">
        <v>2</v>
      </c>
      <c r="P3" s="2">
        <v>3</v>
      </c>
      <c r="Q3" s="2">
        <v>3</v>
      </c>
      <c r="R3" s="2">
        <v>3</v>
      </c>
      <c r="S3" s="3">
        <v>46139</v>
      </c>
      <c r="T3" s="2" t="s">
        <v>53</v>
      </c>
      <c r="U3" s="2" t="s">
        <v>53</v>
      </c>
    </row>
    <row r="4" spans="1:21" x14ac:dyDescent="0.25">
      <c r="A4" s="7" t="s">
        <v>60</v>
      </c>
      <c r="B4" s="2">
        <v>236</v>
      </c>
      <c r="C4" s="2">
        <v>9201</v>
      </c>
      <c r="D4" s="34">
        <f t="shared" ref="D4:D26" si="0">SUM(E4:R4)</f>
        <v>40</v>
      </c>
      <c r="E4" s="2">
        <v>2</v>
      </c>
      <c r="F4" s="2">
        <v>2</v>
      </c>
      <c r="G4" s="2">
        <v>3</v>
      </c>
      <c r="H4" s="2">
        <v>3</v>
      </c>
      <c r="I4" s="2">
        <v>4</v>
      </c>
      <c r="J4" s="2">
        <v>4</v>
      </c>
      <c r="K4" s="2">
        <v>3</v>
      </c>
      <c r="L4" s="2">
        <v>3</v>
      </c>
      <c r="M4" s="2">
        <v>3</v>
      </c>
      <c r="N4" s="2">
        <v>2</v>
      </c>
      <c r="O4" s="2">
        <v>2</v>
      </c>
      <c r="P4" s="2">
        <v>3</v>
      </c>
      <c r="Q4" s="2">
        <v>3</v>
      </c>
      <c r="R4" s="2">
        <v>3</v>
      </c>
      <c r="S4" s="3">
        <v>46139</v>
      </c>
      <c r="T4" s="2" t="s">
        <v>53</v>
      </c>
      <c r="U4" s="2" t="s">
        <v>53</v>
      </c>
    </row>
    <row r="5" spans="1:21" x14ac:dyDescent="0.25">
      <c r="A5" s="7" t="s">
        <v>60</v>
      </c>
      <c r="B5" s="2">
        <v>237</v>
      </c>
      <c r="C5" s="2">
        <v>9201</v>
      </c>
      <c r="D5" s="34">
        <f t="shared" si="0"/>
        <v>40</v>
      </c>
      <c r="E5" s="2">
        <v>2</v>
      </c>
      <c r="F5" s="2">
        <v>2</v>
      </c>
      <c r="G5" s="2">
        <v>3</v>
      </c>
      <c r="H5" s="2">
        <v>3</v>
      </c>
      <c r="I5" s="2">
        <v>4</v>
      </c>
      <c r="J5" s="2">
        <v>4</v>
      </c>
      <c r="K5" s="2">
        <v>3</v>
      </c>
      <c r="L5" s="2">
        <v>3</v>
      </c>
      <c r="M5" s="2">
        <v>3</v>
      </c>
      <c r="N5" s="2">
        <v>2</v>
      </c>
      <c r="O5" s="2">
        <v>2</v>
      </c>
      <c r="P5" s="2">
        <v>3</v>
      </c>
      <c r="Q5" s="2">
        <v>3</v>
      </c>
      <c r="R5" s="2">
        <v>3</v>
      </c>
      <c r="S5" s="3">
        <v>46139</v>
      </c>
      <c r="T5" s="2" t="s">
        <v>53</v>
      </c>
      <c r="U5" s="2" t="s">
        <v>53</v>
      </c>
    </row>
    <row r="6" spans="1:21" x14ac:dyDescent="0.25">
      <c r="A6" s="45" t="s">
        <v>33</v>
      </c>
      <c r="B6" s="2">
        <v>238</v>
      </c>
      <c r="C6" s="2">
        <v>9240</v>
      </c>
      <c r="D6" s="34">
        <f t="shared" si="0"/>
        <v>36</v>
      </c>
      <c r="E6" s="2"/>
      <c r="F6" s="2"/>
      <c r="G6" s="2"/>
      <c r="H6" s="2"/>
      <c r="I6" s="2"/>
      <c r="J6" s="2"/>
      <c r="K6" s="2">
        <v>6</v>
      </c>
      <c r="L6" s="2">
        <v>3</v>
      </c>
      <c r="M6" s="2">
        <v>6</v>
      </c>
      <c r="N6" s="2">
        <v>3</v>
      </c>
      <c r="O6" s="2">
        <v>6</v>
      </c>
      <c r="P6" s="2">
        <v>3</v>
      </c>
      <c r="Q6" s="2">
        <v>6</v>
      </c>
      <c r="R6" s="2">
        <v>3</v>
      </c>
      <c r="S6" s="3">
        <v>46141</v>
      </c>
      <c r="T6" s="2" t="s">
        <v>53</v>
      </c>
      <c r="U6" s="2" t="s">
        <v>53</v>
      </c>
    </row>
    <row r="7" spans="1:21" x14ac:dyDescent="0.25">
      <c r="A7" s="45" t="s">
        <v>33</v>
      </c>
      <c r="B7" s="2">
        <v>239</v>
      </c>
      <c r="C7" s="2">
        <v>9242</v>
      </c>
      <c r="D7" s="34">
        <f t="shared" si="0"/>
        <v>36</v>
      </c>
      <c r="E7" s="2"/>
      <c r="F7" s="2"/>
      <c r="G7" s="2"/>
      <c r="H7" s="2"/>
      <c r="I7" s="2"/>
      <c r="J7" s="2"/>
      <c r="K7" s="2">
        <v>6</v>
      </c>
      <c r="L7" s="2">
        <v>3</v>
      </c>
      <c r="M7" s="2">
        <v>6</v>
      </c>
      <c r="N7" s="2">
        <v>3</v>
      </c>
      <c r="O7" s="2">
        <v>6</v>
      </c>
      <c r="P7" s="2">
        <v>3</v>
      </c>
      <c r="Q7" s="2">
        <v>6</v>
      </c>
      <c r="R7" s="2">
        <v>3</v>
      </c>
      <c r="S7" s="3">
        <v>46141</v>
      </c>
      <c r="T7" s="2" t="s">
        <v>25</v>
      </c>
      <c r="U7" s="2" t="s">
        <v>25</v>
      </c>
    </row>
    <row r="8" spans="1:21" x14ac:dyDescent="0.25">
      <c r="A8" s="45" t="s">
        <v>33</v>
      </c>
      <c r="B8" s="2">
        <v>240</v>
      </c>
      <c r="C8" s="2">
        <v>9219</v>
      </c>
      <c r="D8" s="34">
        <f t="shared" si="0"/>
        <v>36</v>
      </c>
      <c r="E8" s="2"/>
      <c r="F8" s="2"/>
      <c r="G8" s="2"/>
      <c r="H8" s="2"/>
      <c r="I8" s="2"/>
      <c r="J8" s="2"/>
      <c r="K8" s="2">
        <v>6</v>
      </c>
      <c r="L8" s="2">
        <v>3</v>
      </c>
      <c r="M8" s="2">
        <v>6</v>
      </c>
      <c r="N8" s="2">
        <v>3</v>
      </c>
      <c r="O8" s="2">
        <v>6</v>
      </c>
      <c r="P8" s="2">
        <v>3</v>
      </c>
      <c r="Q8" s="2">
        <v>6</v>
      </c>
      <c r="R8" s="2">
        <v>3</v>
      </c>
      <c r="S8" s="3">
        <v>46141</v>
      </c>
      <c r="T8" s="2" t="s">
        <v>53</v>
      </c>
      <c r="U8" s="2" t="s">
        <v>53</v>
      </c>
    </row>
    <row r="9" spans="1:21" x14ac:dyDescent="0.25">
      <c r="A9" s="45" t="s">
        <v>33</v>
      </c>
      <c r="B9" s="2">
        <v>241</v>
      </c>
      <c r="C9" s="2">
        <v>9240</v>
      </c>
      <c r="D9" s="34">
        <f t="shared" si="0"/>
        <v>36</v>
      </c>
      <c r="E9" s="2"/>
      <c r="F9" s="2"/>
      <c r="G9" s="2"/>
      <c r="H9" s="2"/>
      <c r="I9" s="2"/>
      <c r="J9" s="2"/>
      <c r="K9" s="2">
        <v>6</v>
      </c>
      <c r="L9" s="2">
        <v>3</v>
      </c>
      <c r="M9" s="2">
        <v>6</v>
      </c>
      <c r="N9" s="2">
        <v>3</v>
      </c>
      <c r="O9" s="2">
        <v>6</v>
      </c>
      <c r="P9" s="2">
        <v>3</v>
      </c>
      <c r="Q9" s="2">
        <v>6</v>
      </c>
      <c r="R9" s="2">
        <v>3</v>
      </c>
      <c r="S9" s="3">
        <v>46141</v>
      </c>
      <c r="T9" s="2"/>
      <c r="U9" s="2"/>
    </row>
    <row r="10" spans="1:21" x14ac:dyDescent="0.25">
      <c r="A10" s="45" t="s">
        <v>33</v>
      </c>
      <c r="B10" s="2">
        <v>242</v>
      </c>
      <c r="C10" s="2">
        <v>9243</v>
      </c>
      <c r="D10" s="34">
        <f t="shared" si="0"/>
        <v>36</v>
      </c>
      <c r="E10" s="2"/>
      <c r="F10" s="2"/>
      <c r="G10" s="2"/>
      <c r="H10" s="2"/>
      <c r="I10" s="2"/>
      <c r="J10" s="2"/>
      <c r="K10" s="2">
        <v>6</v>
      </c>
      <c r="L10" s="2">
        <v>3</v>
      </c>
      <c r="M10" s="2">
        <v>6</v>
      </c>
      <c r="N10" s="2">
        <v>3</v>
      </c>
      <c r="O10" s="2">
        <v>6</v>
      </c>
      <c r="P10" s="2">
        <v>3</v>
      </c>
      <c r="Q10" s="2">
        <v>6</v>
      </c>
      <c r="R10" s="2">
        <v>3</v>
      </c>
      <c r="S10" s="3">
        <v>46141</v>
      </c>
      <c r="T10" s="2"/>
      <c r="U10" s="2"/>
    </row>
    <row r="11" spans="1:21" x14ac:dyDescent="0.25">
      <c r="A11" s="45" t="s">
        <v>33</v>
      </c>
      <c r="B11" s="2">
        <v>243</v>
      </c>
      <c r="C11" s="2">
        <v>9237</v>
      </c>
      <c r="D11" s="34">
        <f t="shared" si="0"/>
        <v>36</v>
      </c>
      <c r="E11" s="2"/>
      <c r="F11" s="2"/>
      <c r="G11" s="2"/>
      <c r="H11" s="2"/>
      <c r="I11" s="2"/>
      <c r="J11" s="2"/>
      <c r="K11" s="2">
        <v>6</v>
      </c>
      <c r="L11" s="2">
        <v>3</v>
      </c>
      <c r="M11" s="2">
        <v>6</v>
      </c>
      <c r="N11" s="2">
        <v>3</v>
      </c>
      <c r="O11" s="2">
        <v>6</v>
      </c>
      <c r="P11" s="2">
        <v>3</v>
      </c>
      <c r="Q11" s="2">
        <v>6</v>
      </c>
      <c r="R11" s="2">
        <v>3</v>
      </c>
      <c r="S11" s="3">
        <v>46141</v>
      </c>
      <c r="T11" s="2"/>
      <c r="U11" s="2"/>
    </row>
    <row r="12" spans="1:21" x14ac:dyDescent="0.25">
      <c r="A12" s="45" t="s">
        <v>228</v>
      </c>
      <c r="B12" s="2">
        <v>247</v>
      </c>
      <c r="C12" s="2">
        <v>9228</v>
      </c>
      <c r="D12" s="34">
        <f t="shared" si="0"/>
        <v>60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  <c r="J12" s="2">
        <v>4</v>
      </c>
      <c r="K12" s="2">
        <v>6</v>
      </c>
      <c r="L12" s="2">
        <v>3</v>
      </c>
      <c r="M12" s="2">
        <v>6</v>
      </c>
      <c r="N12" s="2">
        <v>3</v>
      </c>
      <c r="O12" s="2">
        <v>6</v>
      </c>
      <c r="P12" s="2">
        <v>3</v>
      </c>
      <c r="Q12" s="2">
        <v>6</v>
      </c>
      <c r="R12" s="2">
        <v>3</v>
      </c>
      <c r="S12" s="3">
        <v>46141</v>
      </c>
      <c r="T12" s="2"/>
      <c r="U12" s="2"/>
    </row>
    <row r="13" spans="1:21" x14ac:dyDescent="0.25">
      <c r="A13" s="45" t="s">
        <v>228</v>
      </c>
      <c r="B13" s="2">
        <v>248</v>
      </c>
      <c r="C13" s="2">
        <v>9218</v>
      </c>
      <c r="D13" s="34">
        <f t="shared" si="0"/>
        <v>60</v>
      </c>
      <c r="E13" s="2">
        <v>4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6</v>
      </c>
      <c r="L13" s="2">
        <v>3</v>
      </c>
      <c r="M13" s="2">
        <v>6</v>
      </c>
      <c r="N13" s="2">
        <v>3</v>
      </c>
      <c r="O13" s="2">
        <v>6</v>
      </c>
      <c r="P13" s="2">
        <v>3</v>
      </c>
      <c r="Q13" s="2">
        <v>6</v>
      </c>
      <c r="R13" s="2">
        <v>3</v>
      </c>
      <c r="S13" s="3">
        <v>46141</v>
      </c>
      <c r="T13" s="2"/>
      <c r="U13" s="2"/>
    </row>
    <row r="14" spans="1:21" x14ac:dyDescent="0.25">
      <c r="A14" s="45" t="s">
        <v>228</v>
      </c>
      <c r="B14" s="2">
        <v>249</v>
      </c>
      <c r="C14" s="2">
        <v>9209</v>
      </c>
      <c r="D14" s="34">
        <f t="shared" si="0"/>
        <v>60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4</v>
      </c>
      <c r="K14" s="2">
        <v>6</v>
      </c>
      <c r="L14" s="2">
        <v>3</v>
      </c>
      <c r="M14" s="2">
        <v>6</v>
      </c>
      <c r="N14" s="2">
        <v>3</v>
      </c>
      <c r="O14" s="2">
        <v>6</v>
      </c>
      <c r="P14" s="2">
        <v>3</v>
      </c>
      <c r="Q14" s="2">
        <v>6</v>
      </c>
      <c r="R14" s="2">
        <v>3</v>
      </c>
      <c r="S14" s="3">
        <v>46141</v>
      </c>
      <c r="T14" s="2"/>
      <c r="U14" s="2"/>
    </row>
    <row r="15" spans="1:21" x14ac:dyDescent="0.25">
      <c r="A15" s="45" t="s">
        <v>228</v>
      </c>
      <c r="B15" s="2">
        <v>250</v>
      </c>
      <c r="C15" s="2">
        <v>9210</v>
      </c>
      <c r="D15" s="34">
        <f t="shared" si="0"/>
        <v>60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6</v>
      </c>
      <c r="L15" s="2">
        <v>3</v>
      </c>
      <c r="M15" s="2">
        <v>6</v>
      </c>
      <c r="N15" s="2">
        <v>3</v>
      </c>
      <c r="O15" s="2">
        <v>6</v>
      </c>
      <c r="P15" s="2">
        <v>3</v>
      </c>
      <c r="Q15" s="2">
        <v>6</v>
      </c>
      <c r="R15" s="2">
        <v>3</v>
      </c>
      <c r="S15" s="3">
        <v>46141</v>
      </c>
      <c r="T15" s="2" t="s">
        <v>53</v>
      </c>
      <c r="U15" s="2" t="s">
        <v>53</v>
      </c>
    </row>
    <row r="16" spans="1:21" x14ac:dyDescent="0.25">
      <c r="A16" s="45" t="s">
        <v>228</v>
      </c>
      <c r="B16" s="2">
        <v>251</v>
      </c>
      <c r="C16" s="2">
        <v>9203</v>
      </c>
      <c r="D16" s="34">
        <f t="shared" si="0"/>
        <v>60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6</v>
      </c>
      <c r="L16" s="2">
        <v>3</v>
      </c>
      <c r="M16" s="2">
        <v>6</v>
      </c>
      <c r="N16" s="2">
        <v>3</v>
      </c>
      <c r="O16" s="2">
        <v>6</v>
      </c>
      <c r="P16" s="2">
        <v>3</v>
      </c>
      <c r="Q16" s="2">
        <v>6</v>
      </c>
      <c r="R16" s="2">
        <v>3</v>
      </c>
      <c r="S16" s="3">
        <v>46141</v>
      </c>
      <c r="T16" s="2"/>
      <c r="U16" s="2"/>
    </row>
    <row r="17" spans="1:21" x14ac:dyDescent="0.25">
      <c r="A17" s="45" t="s">
        <v>228</v>
      </c>
      <c r="B17" s="2">
        <v>252</v>
      </c>
      <c r="C17" s="2">
        <v>9211</v>
      </c>
      <c r="D17" s="34">
        <f t="shared" si="0"/>
        <v>60</v>
      </c>
      <c r="E17" s="2">
        <v>4</v>
      </c>
      <c r="F17" s="2">
        <v>4</v>
      </c>
      <c r="G17" s="2">
        <v>4</v>
      </c>
      <c r="H17" s="2">
        <v>4</v>
      </c>
      <c r="I17" s="2">
        <v>4</v>
      </c>
      <c r="J17" s="2">
        <v>4</v>
      </c>
      <c r="K17" s="2">
        <v>6</v>
      </c>
      <c r="L17" s="2">
        <v>3</v>
      </c>
      <c r="M17" s="2">
        <v>6</v>
      </c>
      <c r="N17" s="2">
        <v>3</v>
      </c>
      <c r="O17" s="2">
        <v>6</v>
      </c>
      <c r="P17" s="2">
        <v>3</v>
      </c>
      <c r="Q17" s="2">
        <v>6</v>
      </c>
      <c r="R17" s="2">
        <v>3</v>
      </c>
      <c r="S17" s="3">
        <v>46141</v>
      </c>
      <c r="T17" s="2" t="s">
        <v>25</v>
      </c>
      <c r="U17" s="2" t="s">
        <v>25</v>
      </c>
    </row>
    <row r="18" spans="1:21" x14ac:dyDescent="0.25">
      <c r="A18" s="45" t="s">
        <v>29</v>
      </c>
      <c r="B18" s="2">
        <v>253</v>
      </c>
      <c r="C18" s="2">
        <v>9231</v>
      </c>
      <c r="D18" s="34">
        <f t="shared" si="0"/>
        <v>48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2</v>
      </c>
      <c r="M18" s="2">
        <v>4</v>
      </c>
      <c r="N18" s="2">
        <v>2</v>
      </c>
      <c r="O18" s="2">
        <v>4</v>
      </c>
      <c r="P18" s="2">
        <v>2</v>
      </c>
      <c r="Q18" s="2">
        <v>4</v>
      </c>
      <c r="R18" s="2">
        <v>2</v>
      </c>
      <c r="S18" s="3" t="s">
        <v>229</v>
      </c>
      <c r="T18" s="2" t="s">
        <v>25</v>
      </c>
      <c r="U18" s="2" t="s">
        <v>25</v>
      </c>
    </row>
    <row r="19" spans="1:21" x14ac:dyDescent="0.25">
      <c r="A19" s="45" t="s">
        <v>29</v>
      </c>
      <c r="B19" s="2">
        <v>254</v>
      </c>
      <c r="C19" s="2">
        <v>9231</v>
      </c>
      <c r="D19" s="34">
        <f t="shared" si="0"/>
        <v>48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  <c r="L19" s="2">
        <v>2</v>
      </c>
      <c r="M19" s="2">
        <v>4</v>
      </c>
      <c r="N19" s="2">
        <v>2</v>
      </c>
      <c r="O19" s="2">
        <v>4</v>
      </c>
      <c r="P19" s="2">
        <v>2</v>
      </c>
      <c r="Q19" s="2">
        <v>4</v>
      </c>
      <c r="R19" s="2">
        <v>2</v>
      </c>
      <c r="S19" s="3">
        <v>46142</v>
      </c>
      <c r="T19" s="2"/>
      <c r="U19" s="2"/>
    </row>
    <row r="20" spans="1:21" x14ac:dyDescent="0.25">
      <c r="A20" s="45" t="s">
        <v>29</v>
      </c>
      <c r="B20" s="2">
        <v>255</v>
      </c>
      <c r="C20" s="2">
        <v>9236</v>
      </c>
      <c r="D20" s="34">
        <f t="shared" si="0"/>
        <v>48</v>
      </c>
      <c r="E20" s="2">
        <v>4</v>
      </c>
      <c r="F20" s="2">
        <v>4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  <c r="L20" s="2">
        <v>2</v>
      </c>
      <c r="M20" s="2">
        <v>4</v>
      </c>
      <c r="N20" s="2">
        <v>2</v>
      </c>
      <c r="O20" s="2">
        <v>4</v>
      </c>
      <c r="P20" s="2">
        <v>2</v>
      </c>
      <c r="Q20" s="2">
        <v>4</v>
      </c>
      <c r="R20" s="2">
        <v>2</v>
      </c>
      <c r="S20" s="3">
        <v>46142</v>
      </c>
      <c r="T20" s="2" t="s">
        <v>25</v>
      </c>
      <c r="U20" s="2" t="s">
        <v>25</v>
      </c>
    </row>
    <row r="21" spans="1:21" x14ac:dyDescent="0.25">
      <c r="A21" s="45" t="s">
        <v>29</v>
      </c>
      <c r="B21" s="2">
        <v>256</v>
      </c>
      <c r="C21" s="2">
        <v>9236</v>
      </c>
      <c r="D21" s="34">
        <f t="shared" si="0"/>
        <v>48</v>
      </c>
      <c r="E21" s="2">
        <v>4</v>
      </c>
      <c r="F21" s="2">
        <v>4</v>
      </c>
      <c r="G21" s="2">
        <v>4</v>
      </c>
      <c r="H21" s="2">
        <v>4</v>
      </c>
      <c r="I21" s="2">
        <v>4</v>
      </c>
      <c r="J21" s="2">
        <v>4</v>
      </c>
      <c r="K21" s="2">
        <v>4</v>
      </c>
      <c r="L21" s="2">
        <v>2</v>
      </c>
      <c r="M21" s="2">
        <v>4</v>
      </c>
      <c r="N21" s="2">
        <v>2</v>
      </c>
      <c r="O21" s="2">
        <v>4</v>
      </c>
      <c r="P21" s="2">
        <v>2</v>
      </c>
      <c r="Q21" s="2">
        <v>4</v>
      </c>
      <c r="R21" s="2">
        <v>2</v>
      </c>
      <c r="S21" s="3">
        <v>46142</v>
      </c>
      <c r="T21" s="2"/>
      <c r="U21" s="2"/>
    </row>
    <row r="22" spans="1:21" x14ac:dyDescent="0.25">
      <c r="A22" s="45" t="s">
        <v>29</v>
      </c>
      <c r="B22" s="2">
        <v>257</v>
      </c>
      <c r="C22" s="2">
        <v>9235</v>
      </c>
      <c r="D22" s="34">
        <f t="shared" si="0"/>
        <v>24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1</v>
      </c>
      <c r="M22" s="2">
        <v>2</v>
      </c>
      <c r="N22" s="2">
        <v>1</v>
      </c>
      <c r="O22" s="2">
        <v>2</v>
      </c>
      <c r="P22" s="2">
        <v>1</v>
      </c>
      <c r="Q22" s="2">
        <v>2</v>
      </c>
      <c r="R22" s="2">
        <v>1</v>
      </c>
      <c r="S22" s="3">
        <v>46142</v>
      </c>
      <c r="T22" s="2"/>
      <c r="U22" s="2"/>
    </row>
    <row r="23" spans="1:21" x14ac:dyDescent="0.25">
      <c r="A23" s="45" t="s">
        <v>29</v>
      </c>
      <c r="B23" s="2">
        <v>258</v>
      </c>
      <c r="C23" s="2">
        <v>9236</v>
      </c>
      <c r="D23" s="34">
        <f t="shared" si="0"/>
        <v>24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1</v>
      </c>
      <c r="M23" s="2">
        <v>2</v>
      </c>
      <c r="N23" s="2">
        <v>1</v>
      </c>
      <c r="O23" s="2">
        <v>2</v>
      </c>
      <c r="P23" s="2">
        <v>1</v>
      </c>
      <c r="Q23" s="2">
        <v>2</v>
      </c>
      <c r="R23" s="2">
        <v>1</v>
      </c>
      <c r="S23" s="3">
        <v>46142</v>
      </c>
      <c r="T23" s="2" t="s">
        <v>25</v>
      </c>
      <c r="U23" s="2" t="s">
        <v>25</v>
      </c>
    </row>
    <row r="24" spans="1:21" x14ac:dyDescent="0.25">
      <c r="A24" s="45" t="s">
        <v>29</v>
      </c>
      <c r="B24" s="2">
        <v>259</v>
      </c>
      <c r="C24" s="2">
        <v>9239</v>
      </c>
      <c r="D24" s="34">
        <f t="shared" si="0"/>
        <v>24</v>
      </c>
      <c r="E24" s="2">
        <v>2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>
        <v>2</v>
      </c>
      <c r="L24" s="2">
        <v>1</v>
      </c>
      <c r="M24" s="2">
        <v>2</v>
      </c>
      <c r="N24" s="2">
        <v>1</v>
      </c>
      <c r="O24" s="2">
        <v>2</v>
      </c>
      <c r="P24" s="2">
        <v>1</v>
      </c>
      <c r="Q24" s="2">
        <v>2</v>
      </c>
      <c r="R24" s="2">
        <v>1</v>
      </c>
      <c r="S24" s="3">
        <v>46142</v>
      </c>
      <c r="T24" s="2"/>
      <c r="U24" s="2"/>
    </row>
    <row r="25" spans="1:21" ht="15.75" customHeight="1" x14ac:dyDescent="0.25">
      <c r="A25" s="45" t="s">
        <v>74</v>
      </c>
      <c r="B25" s="2">
        <v>260</v>
      </c>
      <c r="C25" s="2">
        <v>9213</v>
      </c>
      <c r="D25" s="34">
        <f t="shared" si="0"/>
        <v>15</v>
      </c>
      <c r="E25" s="2"/>
      <c r="F25" s="2"/>
      <c r="G25" s="2"/>
      <c r="H25" s="2"/>
      <c r="I25" s="2"/>
      <c r="J25" s="2"/>
      <c r="K25" s="2">
        <v>3</v>
      </c>
      <c r="L25" s="2"/>
      <c r="M25" s="2">
        <v>3</v>
      </c>
      <c r="N25" s="2"/>
      <c r="O25" s="2">
        <v>3</v>
      </c>
      <c r="P25" s="2"/>
      <c r="Q25" s="2">
        <v>6</v>
      </c>
      <c r="R25" s="2"/>
      <c r="S25" s="3">
        <v>46142</v>
      </c>
      <c r="T25" s="2"/>
      <c r="U25" s="2"/>
    </row>
    <row r="26" spans="1:21" ht="15.75" customHeight="1" x14ac:dyDescent="0.25">
      <c r="A26" s="45" t="s">
        <v>74</v>
      </c>
      <c r="B26" s="2">
        <v>261</v>
      </c>
      <c r="C26" s="2">
        <v>9218</v>
      </c>
      <c r="D26" s="34">
        <f t="shared" si="0"/>
        <v>15</v>
      </c>
      <c r="E26" s="2"/>
      <c r="F26" s="2"/>
      <c r="G26" s="2"/>
      <c r="H26" s="2"/>
      <c r="I26" s="2"/>
      <c r="J26" s="2"/>
      <c r="K26" s="2">
        <v>3</v>
      </c>
      <c r="L26" s="2"/>
      <c r="M26" s="2">
        <v>3</v>
      </c>
      <c r="N26" s="2"/>
      <c r="O26" s="2">
        <v>3</v>
      </c>
      <c r="P26" s="2"/>
      <c r="Q26" s="2">
        <v>6</v>
      </c>
      <c r="R26" s="2"/>
      <c r="S26" s="3">
        <v>46142</v>
      </c>
      <c r="T26" s="2"/>
      <c r="U26" s="2"/>
    </row>
    <row r="27" spans="1:21" x14ac:dyDescent="0.25">
      <c r="A27" s="44"/>
      <c r="B27" s="4"/>
      <c r="C27" s="4"/>
      <c r="D27" s="34">
        <f>SUM(D3:D26)</f>
        <v>990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2"/>
      <c r="T27" s="4"/>
      <c r="U27" s="4"/>
    </row>
    <row r="28" spans="1:21" x14ac:dyDescent="0.25">
      <c r="A28" s="44"/>
      <c r="B28" s="4"/>
      <c r="C28" s="4"/>
      <c r="D28" s="3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2"/>
      <c r="T28" s="4"/>
      <c r="U28" s="4"/>
    </row>
    <row r="29" spans="1:21" ht="18.75" x14ac:dyDescent="0.25">
      <c r="A29" s="63" t="s">
        <v>227</v>
      </c>
      <c r="B29" s="63"/>
      <c r="C29" s="63"/>
      <c r="D29" s="63"/>
      <c r="E29" s="63" t="s">
        <v>4</v>
      </c>
      <c r="F29" s="63"/>
      <c r="G29" s="63"/>
      <c r="H29" s="63"/>
      <c r="I29" s="63"/>
      <c r="J29" s="63"/>
      <c r="K29" s="63"/>
      <c r="L29" s="63"/>
      <c r="M29" s="63"/>
      <c r="N29" s="67" t="s">
        <v>223</v>
      </c>
      <c r="O29" s="68"/>
      <c r="P29" s="68"/>
      <c r="Q29" s="69"/>
      <c r="R29" s="82" t="s">
        <v>6</v>
      </c>
      <c r="S29" s="83"/>
    </row>
    <row r="30" spans="1:21" x14ac:dyDescent="0.25">
      <c r="A30" s="6" t="s">
        <v>0</v>
      </c>
      <c r="B30" s="6" t="s">
        <v>1</v>
      </c>
      <c r="C30" s="6" t="s">
        <v>3</v>
      </c>
      <c r="D30" s="12" t="s">
        <v>2</v>
      </c>
      <c r="E30" s="6">
        <v>22</v>
      </c>
      <c r="F30" s="6">
        <v>22.5</v>
      </c>
      <c r="G30" s="6">
        <v>23</v>
      </c>
      <c r="H30" s="6">
        <v>23.5</v>
      </c>
      <c r="I30" s="6">
        <v>24</v>
      </c>
      <c r="J30" s="6">
        <v>24.5</v>
      </c>
      <c r="K30" s="6">
        <v>25</v>
      </c>
      <c r="L30" s="6">
        <v>25.5</v>
      </c>
      <c r="M30" s="6">
        <v>26</v>
      </c>
      <c r="N30" s="70"/>
      <c r="O30" s="71"/>
      <c r="P30" s="71"/>
      <c r="Q30" s="72"/>
      <c r="R30" s="82" t="s">
        <v>9</v>
      </c>
      <c r="S30" s="83"/>
    </row>
    <row r="31" spans="1:21" x14ac:dyDescent="0.25">
      <c r="A31" s="45" t="s">
        <v>33</v>
      </c>
      <c r="B31" s="2">
        <v>244</v>
      </c>
      <c r="C31" s="2">
        <v>2476</v>
      </c>
      <c r="D31" s="2">
        <f>SUM(E31:M31)</f>
        <v>24</v>
      </c>
      <c r="E31" s="2">
        <v>4</v>
      </c>
      <c r="F31" s="2">
        <v>4</v>
      </c>
      <c r="G31" s="2">
        <v>4</v>
      </c>
      <c r="H31" s="2">
        <v>4</v>
      </c>
      <c r="I31" s="2">
        <v>4</v>
      </c>
      <c r="J31" s="2">
        <v>2</v>
      </c>
      <c r="K31" s="2">
        <v>2</v>
      </c>
      <c r="L31" s="2"/>
      <c r="M31" s="2"/>
      <c r="N31" s="88">
        <v>46141</v>
      </c>
      <c r="O31" s="89"/>
      <c r="P31" s="89"/>
      <c r="Q31" s="90"/>
      <c r="R31" s="2"/>
      <c r="S31" s="2"/>
    </row>
    <row r="32" spans="1:21" x14ac:dyDescent="0.25">
      <c r="A32" s="45" t="s">
        <v>33</v>
      </c>
      <c r="B32" s="2">
        <v>245</v>
      </c>
      <c r="C32" s="2">
        <v>2437</v>
      </c>
      <c r="D32" s="2">
        <f t="shared" ref="D32:D33" si="1">SUM(E32:M32)</f>
        <v>24</v>
      </c>
      <c r="E32" s="2">
        <v>4</v>
      </c>
      <c r="F32" s="2">
        <v>4</v>
      </c>
      <c r="G32" s="2">
        <v>4</v>
      </c>
      <c r="H32" s="2">
        <v>4</v>
      </c>
      <c r="I32" s="2">
        <v>4</v>
      </c>
      <c r="J32" s="2">
        <v>2</v>
      </c>
      <c r="K32" s="2">
        <v>2</v>
      </c>
      <c r="L32" s="2"/>
      <c r="M32" s="2"/>
      <c r="N32" s="88">
        <v>46141</v>
      </c>
      <c r="O32" s="89"/>
      <c r="P32" s="89"/>
      <c r="Q32" s="90"/>
      <c r="R32" s="2"/>
      <c r="S32" s="2"/>
    </row>
    <row r="33" spans="1:19" x14ac:dyDescent="0.25">
      <c r="A33" s="45" t="s">
        <v>33</v>
      </c>
      <c r="B33" s="2">
        <v>246</v>
      </c>
      <c r="C33" s="2">
        <v>2480</v>
      </c>
      <c r="D33" s="2">
        <f t="shared" si="1"/>
        <v>24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2</v>
      </c>
      <c r="K33" s="2">
        <v>2</v>
      </c>
      <c r="L33" s="2"/>
      <c r="M33" s="2"/>
      <c r="N33" s="88">
        <v>46141</v>
      </c>
      <c r="O33" s="89"/>
      <c r="P33" s="89"/>
      <c r="Q33" s="90"/>
      <c r="R33" s="2"/>
      <c r="S33" s="2"/>
    </row>
    <row r="34" spans="1:19" x14ac:dyDescent="0.25">
      <c r="A34" s="44"/>
      <c r="D34" s="2">
        <f>SUM(D31:D33)</f>
        <v>72</v>
      </c>
    </row>
    <row r="35" spans="1:19" x14ac:dyDescent="0.25">
      <c r="A35" s="44"/>
      <c r="C35" s="48">
        <f>D27+D34</f>
        <v>1062</v>
      </c>
    </row>
    <row r="36" spans="1:19" x14ac:dyDescent="0.25">
      <c r="A36" s="44"/>
    </row>
    <row r="37" spans="1:19" x14ac:dyDescent="0.25">
      <c r="A37" s="44"/>
    </row>
    <row r="38" spans="1:19" x14ac:dyDescent="0.25">
      <c r="A38" s="44"/>
    </row>
    <row r="39" spans="1:19" x14ac:dyDescent="0.25">
      <c r="A39" s="44"/>
    </row>
    <row r="40" spans="1:19" x14ac:dyDescent="0.25">
      <c r="A40" s="44"/>
    </row>
    <row r="41" spans="1:19" x14ac:dyDescent="0.25">
      <c r="A41" s="44"/>
    </row>
    <row r="42" spans="1:19" x14ac:dyDescent="0.25">
      <c r="A42" s="44"/>
    </row>
    <row r="43" spans="1:19" x14ac:dyDescent="0.25">
      <c r="A43" s="44"/>
    </row>
    <row r="44" spans="1:19" x14ac:dyDescent="0.25">
      <c r="A44" s="44"/>
    </row>
    <row r="45" spans="1:19" x14ac:dyDescent="0.25">
      <c r="A45" s="44"/>
    </row>
    <row r="46" spans="1:19" x14ac:dyDescent="0.25">
      <c r="A46" s="44"/>
    </row>
    <row r="47" spans="1:19" x14ac:dyDescent="0.25">
      <c r="A47" s="44"/>
    </row>
  </sheetData>
  <mergeCells count="12">
    <mergeCell ref="S1:S2"/>
    <mergeCell ref="T1:U1"/>
    <mergeCell ref="A29:D29"/>
    <mergeCell ref="E29:M29"/>
    <mergeCell ref="N29:Q30"/>
    <mergeCell ref="R29:S29"/>
    <mergeCell ref="R30:S30"/>
    <mergeCell ref="N31:Q31"/>
    <mergeCell ref="N32:Q32"/>
    <mergeCell ref="N33:Q33"/>
    <mergeCell ref="A1:D1"/>
    <mergeCell ref="E1:R1"/>
  </mergeCells>
  <pageMargins left="0.7" right="0.7" top="0.75" bottom="0.75" header="0.3" footer="0.3"/>
  <pageSetup paperSize="256" orientation="portrait" horizontalDpi="203" verticalDpi="203" r:id="rId1"/>
  <ignoredErrors>
    <ignoredError sqref="D3 D4:D17 D19:D24 D31:D33 D25:D26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28"/>
  <sheetViews>
    <sheetView topLeftCell="A13" workbookViewId="0">
      <selection activeCell="C28" sqref="C28"/>
    </sheetView>
  </sheetViews>
  <sheetFormatPr defaultColWidth="11.42578125" defaultRowHeight="15" x14ac:dyDescent="0.25"/>
  <cols>
    <col min="1" max="1" width="22.28515625" customWidth="1"/>
    <col min="4" max="4" width="9.5703125" customWidth="1"/>
    <col min="5" max="5" width="6" customWidth="1"/>
    <col min="6" max="6" width="6.42578125" customWidth="1"/>
    <col min="7" max="7" width="5.28515625" customWidth="1"/>
    <col min="8" max="8" width="6" customWidth="1"/>
    <col min="9" max="9" width="5.85546875" customWidth="1"/>
    <col min="10" max="10" width="5.42578125" customWidth="1"/>
    <col min="11" max="11" width="5" customWidth="1"/>
    <col min="12" max="12" width="5.5703125" customWidth="1"/>
    <col min="13" max="13" width="5.42578125" customWidth="1"/>
    <col min="14" max="14" width="6" customWidth="1"/>
    <col min="15" max="15" width="6.28515625" customWidth="1"/>
    <col min="16" max="16" width="5.85546875" customWidth="1"/>
    <col min="17" max="17" width="6.140625" customWidth="1"/>
    <col min="18" max="18" width="5.42578125" customWidth="1"/>
    <col min="19" max="19" width="12.5703125" customWidth="1"/>
    <col min="22" max="22" width="7.85546875" customWidth="1"/>
    <col min="23" max="23" width="6.85546875" customWidth="1"/>
    <col min="24" max="24" width="8.5703125" customWidth="1"/>
    <col min="25" max="25" width="9.42578125" customWidth="1"/>
  </cols>
  <sheetData>
    <row r="1" spans="1:21" ht="18.75" x14ac:dyDescent="0.25">
      <c r="A1" s="63" t="s">
        <v>234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226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  <c r="T2" s="22" t="s">
        <v>9</v>
      </c>
      <c r="U2" s="22" t="s">
        <v>10</v>
      </c>
    </row>
    <row r="3" spans="1:21" x14ac:dyDescent="0.25">
      <c r="A3" s="7" t="s">
        <v>29</v>
      </c>
      <c r="B3" s="2">
        <v>270</v>
      </c>
      <c r="C3" s="2">
        <v>9258</v>
      </c>
      <c r="D3" s="2">
        <f>SUM(E3:R3)</f>
        <v>24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1</v>
      </c>
      <c r="M3" s="2">
        <v>2</v>
      </c>
      <c r="N3" s="2">
        <v>1</v>
      </c>
      <c r="O3" s="2">
        <v>2</v>
      </c>
      <c r="P3" s="2">
        <v>1</v>
      </c>
      <c r="Q3" s="2">
        <v>2</v>
      </c>
      <c r="R3" s="2">
        <v>1</v>
      </c>
      <c r="S3" s="3">
        <v>46146</v>
      </c>
      <c r="T3" s="2" t="s">
        <v>25</v>
      </c>
      <c r="U3" s="2" t="s">
        <v>25</v>
      </c>
    </row>
    <row r="4" spans="1:21" x14ac:dyDescent="0.25">
      <c r="A4" s="7" t="s">
        <v>29</v>
      </c>
      <c r="B4" s="2">
        <v>271</v>
      </c>
      <c r="C4" s="2">
        <v>9264</v>
      </c>
      <c r="D4" s="2">
        <f t="shared" ref="D4:D16" si="0">SUM(E4:R4)</f>
        <v>24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1</v>
      </c>
      <c r="M4" s="2">
        <v>2</v>
      </c>
      <c r="N4" s="2">
        <v>1</v>
      </c>
      <c r="O4" s="2">
        <v>2</v>
      </c>
      <c r="P4" s="2">
        <v>1</v>
      </c>
      <c r="Q4" s="2">
        <v>2</v>
      </c>
      <c r="R4" s="2">
        <v>1</v>
      </c>
      <c r="S4" s="3">
        <v>46146</v>
      </c>
      <c r="T4" s="2"/>
      <c r="U4" s="2"/>
    </row>
    <row r="5" spans="1:21" x14ac:dyDescent="0.25">
      <c r="A5" s="7" t="s">
        <v>29</v>
      </c>
      <c r="B5" s="2">
        <v>272</v>
      </c>
      <c r="C5" s="2">
        <v>9248</v>
      </c>
      <c r="D5" s="2">
        <f t="shared" si="0"/>
        <v>24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1</v>
      </c>
      <c r="M5" s="2">
        <v>2</v>
      </c>
      <c r="N5" s="2">
        <v>1</v>
      </c>
      <c r="O5" s="2">
        <v>2</v>
      </c>
      <c r="P5" s="2">
        <v>1</v>
      </c>
      <c r="Q5" s="2">
        <v>2</v>
      </c>
      <c r="R5" s="2">
        <v>1</v>
      </c>
      <c r="S5" s="3">
        <v>46146</v>
      </c>
      <c r="T5" s="2"/>
      <c r="U5" s="2"/>
    </row>
    <row r="6" spans="1:21" x14ac:dyDescent="0.25">
      <c r="A6" s="7" t="s">
        <v>89</v>
      </c>
      <c r="B6" s="2">
        <v>273</v>
      </c>
      <c r="C6" s="2">
        <v>9220</v>
      </c>
      <c r="D6" s="2">
        <f t="shared" si="0"/>
        <v>60</v>
      </c>
      <c r="E6" s="2">
        <v>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v>6</v>
      </c>
      <c r="L6" s="2">
        <v>3</v>
      </c>
      <c r="M6" s="2">
        <v>6</v>
      </c>
      <c r="N6" s="2">
        <v>3</v>
      </c>
      <c r="O6" s="2">
        <v>6</v>
      </c>
      <c r="P6" s="2">
        <v>3</v>
      </c>
      <c r="Q6" s="2">
        <v>6</v>
      </c>
      <c r="R6" s="2">
        <v>3</v>
      </c>
      <c r="S6" s="3">
        <v>46146</v>
      </c>
      <c r="T6" s="2"/>
      <c r="U6" s="2" t="s">
        <v>53</v>
      </c>
    </row>
    <row r="7" spans="1:21" x14ac:dyDescent="0.25">
      <c r="A7" s="7" t="s">
        <v>89</v>
      </c>
      <c r="B7" s="2">
        <v>274</v>
      </c>
      <c r="C7" s="2">
        <v>9201</v>
      </c>
      <c r="D7" s="2">
        <f t="shared" si="0"/>
        <v>60</v>
      </c>
      <c r="E7" s="2">
        <v>4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6</v>
      </c>
      <c r="L7" s="2">
        <v>3</v>
      </c>
      <c r="M7" s="2">
        <v>6</v>
      </c>
      <c r="N7" s="2">
        <v>3</v>
      </c>
      <c r="O7" s="2">
        <v>6</v>
      </c>
      <c r="P7" s="2">
        <v>3</v>
      </c>
      <c r="Q7" s="2">
        <v>6</v>
      </c>
      <c r="R7" s="2">
        <v>3</v>
      </c>
      <c r="S7" s="3">
        <v>46146</v>
      </c>
      <c r="T7" s="2" t="s">
        <v>53</v>
      </c>
      <c r="U7" s="2" t="s">
        <v>53</v>
      </c>
    </row>
    <row r="8" spans="1:21" x14ac:dyDescent="0.25">
      <c r="A8" s="7" t="s">
        <v>89</v>
      </c>
      <c r="B8" s="2">
        <v>275</v>
      </c>
      <c r="C8" s="2">
        <v>9201</v>
      </c>
      <c r="D8" s="2">
        <f t="shared" si="0"/>
        <v>60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6</v>
      </c>
      <c r="L8" s="2">
        <v>3</v>
      </c>
      <c r="M8" s="2">
        <v>6</v>
      </c>
      <c r="N8" s="2">
        <v>3</v>
      </c>
      <c r="O8" s="2">
        <v>6</v>
      </c>
      <c r="P8" s="2">
        <v>3</v>
      </c>
      <c r="Q8" s="2">
        <v>6</v>
      </c>
      <c r="R8" s="2">
        <v>3</v>
      </c>
      <c r="S8" s="3">
        <v>46146</v>
      </c>
      <c r="T8" s="2" t="s">
        <v>53</v>
      </c>
      <c r="U8" s="2" t="s">
        <v>53</v>
      </c>
    </row>
    <row r="9" spans="1:21" x14ac:dyDescent="0.25">
      <c r="A9" s="7" t="s">
        <v>89</v>
      </c>
      <c r="B9" s="2">
        <v>276</v>
      </c>
      <c r="C9" s="2">
        <v>9202</v>
      </c>
      <c r="D9" s="2">
        <f t="shared" si="0"/>
        <v>60</v>
      </c>
      <c r="E9" s="2">
        <v>4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6</v>
      </c>
      <c r="L9" s="2">
        <v>3</v>
      </c>
      <c r="M9" s="2">
        <v>6</v>
      </c>
      <c r="N9" s="2">
        <v>3</v>
      </c>
      <c r="O9" s="2">
        <v>6</v>
      </c>
      <c r="P9" s="2">
        <v>3</v>
      </c>
      <c r="Q9" s="2">
        <v>6</v>
      </c>
      <c r="R9" s="2">
        <v>3</v>
      </c>
      <c r="S9" s="3">
        <v>46146</v>
      </c>
      <c r="T9" s="2"/>
      <c r="U9" s="2"/>
    </row>
    <row r="10" spans="1:21" x14ac:dyDescent="0.25">
      <c r="A10" s="7" t="s">
        <v>89</v>
      </c>
      <c r="B10" s="2">
        <v>277</v>
      </c>
      <c r="C10" s="2">
        <v>9202</v>
      </c>
      <c r="D10" s="2">
        <f t="shared" si="0"/>
        <v>60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6</v>
      </c>
      <c r="L10" s="2">
        <v>3</v>
      </c>
      <c r="M10" s="2">
        <v>6</v>
      </c>
      <c r="N10" s="2">
        <v>3</v>
      </c>
      <c r="O10" s="2">
        <v>6</v>
      </c>
      <c r="P10" s="2">
        <v>3</v>
      </c>
      <c r="Q10" s="2">
        <v>6</v>
      </c>
      <c r="R10" s="2">
        <v>3</v>
      </c>
      <c r="S10" s="3">
        <v>46146</v>
      </c>
      <c r="T10" s="2"/>
      <c r="U10" s="2"/>
    </row>
    <row r="11" spans="1:21" x14ac:dyDescent="0.25">
      <c r="A11" s="7" t="s">
        <v>231</v>
      </c>
      <c r="B11" s="2">
        <v>278</v>
      </c>
      <c r="C11" s="2">
        <v>9237</v>
      </c>
      <c r="D11" s="2">
        <f t="shared" si="0"/>
        <v>36</v>
      </c>
      <c r="E11" s="2"/>
      <c r="F11" s="2"/>
      <c r="G11" s="2"/>
      <c r="H11" s="2"/>
      <c r="I11" s="2"/>
      <c r="J11" s="2"/>
      <c r="K11" s="2">
        <v>6</v>
      </c>
      <c r="L11" s="2">
        <v>3</v>
      </c>
      <c r="M11" s="2">
        <v>6</v>
      </c>
      <c r="N11" s="2">
        <v>3</v>
      </c>
      <c r="O11" s="2">
        <v>6</v>
      </c>
      <c r="P11" s="2">
        <v>3</v>
      </c>
      <c r="Q11" s="2">
        <v>6</v>
      </c>
      <c r="R11" s="2">
        <v>3</v>
      </c>
      <c r="S11" s="3">
        <v>46146</v>
      </c>
      <c r="T11" s="2"/>
      <c r="U11" s="2"/>
    </row>
    <row r="12" spans="1:21" x14ac:dyDescent="0.25">
      <c r="A12" s="7" t="s">
        <v>231</v>
      </c>
      <c r="B12" s="2">
        <v>279</v>
      </c>
      <c r="C12" s="2">
        <v>9264</v>
      </c>
      <c r="D12" s="2">
        <f t="shared" si="0"/>
        <v>36</v>
      </c>
      <c r="E12" s="2"/>
      <c r="F12" s="2"/>
      <c r="G12" s="2"/>
      <c r="H12" s="2"/>
      <c r="I12" s="2"/>
      <c r="J12" s="2"/>
      <c r="K12" s="2">
        <v>6</v>
      </c>
      <c r="L12" s="2">
        <v>3</v>
      </c>
      <c r="M12" s="2">
        <v>6</v>
      </c>
      <c r="N12" s="2">
        <v>3</v>
      </c>
      <c r="O12" s="2">
        <v>6</v>
      </c>
      <c r="P12" s="2">
        <v>3</v>
      </c>
      <c r="Q12" s="2">
        <v>6</v>
      </c>
      <c r="R12" s="2">
        <v>3</v>
      </c>
      <c r="S12" s="3">
        <v>46146</v>
      </c>
      <c r="T12" s="2"/>
      <c r="U12" s="2"/>
    </row>
    <row r="13" spans="1:21" x14ac:dyDescent="0.25">
      <c r="A13" s="7" t="s">
        <v>231</v>
      </c>
      <c r="B13" s="2">
        <v>280</v>
      </c>
      <c r="C13" s="2">
        <v>9276</v>
      </c>
      <c r="D13" s="2">
        <f t="shared" si="0"/>
        <v>24</v>
      </c>
      <c r="E13" s="2"/>
      <c r="F13" s="2"/>
      <c r="G13" s="2"/>
      <c r="H13" s="2"/>
      <c r="I13" s="2"/>
      <c r="J13" s="2"/>
      <c r="K13" s="2">
        <v>4</v>
      </c>
      <c r="L13" s="2">
        <v>2</v>
      </c>
      <c r="M13" s="2">
        <v>4</v>
      </c>
      <c r="N13" s="2">
        <v>2</v>
      </c>
      <c r="O13" s="2">
        <v>4</v>
      </c>
      <c r="P13" s="2">
        <v>2</v>
      </c>
      <c r="Q13" s="2">
        <v>4</v>
      </c>
      <c r="R13" s="2">
        <v>2</v>
      </c>
      <c r="S13" s="3">
        <v>46146</v>
      </c>
      <c r="T13" s="2" t="s">
        <v>25</v>
      </c>
      <c r="U13" s="2" t="s">
        <v>25</v>
      </c>
    </row>
    <row r="14" spans="1:21" x14ac:dyDescent="0.25">
      <c r="A14" s="7" t="s">
        <v>231</v>
      </c>
      <c r="B14" s="2">
        <v>281</v>
      </c>
      <c r="C14" s="2">
        <v>2601</v>
      </c>
      <c r="D14" s="2">
        <f t="shared" si="0"/>
        <v>48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4</v>
      </c>
      <c r="K14" s="2">
        <v>4</v>
      </c>
      <c r="L14" s="2">
        <v>2</v>
      </c>
      <c r="M14" s="2">
        <v>4</v>
      </c>
      <c r="N14" s="2">
        <v>2</v>
      </c>
      <c r="O14" s="2">
        <v>4</v>
      </c>
      <c r="P14" s="2">
        <v>2</v>
      </c>
      <c r="Q14" s="2">
        <v>4</v>
      </c>
      <c r="R14" s="2">
        <v>2</v>
      </c>
      <c r="S14" s="3">
        <v>46146</v>
      </c>
      <c r="T14" s="2"/>
      <c r="U14" s="2"/>
    </row>
    <row r="15" spans="1:21" x14ac:dyDescent="0.25">
      <c r="A15" s="7" t="s">
        <v>231</v>
      </c>
      <c r="B15" s="2">
        <v>282</v>
      </c>
      <c r="C15" s="2">
        <v>9272</v>
      </c>
      <c r="D15" s="2">
        <f t="shared" si="0"/>
        <v>48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2</v>
      </c>
      <c r="M15" s="2">
        <v>4</v>
      </c>
      <c r="N15" s="2">
        <v>2</v>
      </c>
      <c r="O15" s="2">
        <v>4</v>
      </c>
      <c r="P15" s="2">
        <v>2</v>
      </c>
      <c r="Q15" s="2">
        <v>4</v>
      </c>
      <c r="R15" s="2">
        <v>2</v>
      </c>
      <c r="S15" s="3">
        <v>46146</v>
      </c>
      <c r="T15" s="2" t="s">
        <v>53</v>
      </c>
      <c r="U15" s="2" t="s">
        <v>53</v>
      </c>
    </row>
    <row r="16" spans="1:21" x14ac:dyDescent="0.25">
      <c r="A16" s="7" t="s">
        <v>231</v>
      </c>
      <c r="B16" s="2">
        <v>283</v>
      </c>
      <c r="C16" s="2">
        <v>9280</v>
      </c>
      <c r="D16" s="2">
        <f t="shared" si="0"/>
        <v>48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L16" s="2">
        <v>2</v>
      </c>
      <c r="M16" s="2">
        <v>4</v>
      </c>
      <c r="N16" s="2">
        <v>2</v>
      </c>
      <c r="O16" s="2">
        <v>4</v>
      </c>
      <c r="P16" s="2">
        <v>2</v>
      </c>
      <c r="Q16" s="2">
        <v>4</v>
      </c>
      <c r="R16" s="2">
        <v>2</v>
      </c>
      <c r="S16" s="3">
        <v>46146</v>
      </c>
      <c r="T16" s="2" t="s">
        <v>25</v>
      </c>
      <c r="U16" s="2" t="s">
        <v>25</v>
      </c>
    </row>
    <row r="17" spans="1:25" x14ac:dyDescent="0.25">
      <c r="A17" s="7"/>
      <c r="B17" s="2"/>
      <c r="C17" s="2"/>
      <c r="D17" s="2">
        <f>SUM(D3:D16)</f>
        <v>612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"/>
      <c r="T17" s="2"/>
      <c r="U17" s="2"/>
    </row>
    <row r="19" spans="1:25" ht="18.75" customHeight="1" x14ac:dyDescent="0.25">
      <c r="A19" s="63" t="s">
        <v>234</v>
      </c>
      <c r="B19" s="63"/>
      <c r="C19" s="63"/>
      <c r="D19" s="63"/>
      <c r="E19" s="95" t="s">
        <v>4</v>
      </c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7"/>
      <c r="V19" s="98" t="s">
        <v>233</v>
      </c>
      <c r="W19" s="98"/>
      <c r="X19" s="93" t="s">
        <v>6</v>
      </c>
      <c r="Y19" s="94"/>
    </row>
    <row r="20" spans="1:25" x14ac:dyDescent="0.25">
      <c r="A20" s="6" t="s">
        <v>0</v>
      </c>
      <c r="B20" s="6" t="s">
        <v>1</v>
      </c>
      <c r="C20" s="6" t="s">
        <v>3</v>
      </c>
      <c r="D20" s="12" t="s">
        <v>2</v>
      </c>
      <c r="E20" s="6">
        <v>22</v>
      </c>
      <c r="F20" s="6">
        <v>22.5</v>
      </c>
      <c r="G20" s="6">
        <v>23</v>
      </c>
      <c r="H20" s="6">
        <v>23.5</v>
      </c>
      <c r="I20" s="6">
        <v>24</v>
      </c>
      <c r="J20" s="6">
        <v>24.5</v>
      </c>
      <c r="K20" s="6">
        <v>25</v>
      </c>
      <c r="L20" s="6">
        <v>25.5</v>
      </c>
      <c r="M20" s="6">
        <v>26</v>
      </c>
      <c r="N20" s="6">
        <v>26.5</v>
      </c>
      <c r="O20" s="6">
        <v>27</v>
      </c>
      <c r="P20" s="6">
        <v>27.5</v>
      </c>
      <c r="Q20" s="6">
        <v>28</v>
      </c>
      <c r="R20" s="6">
        <v>28.5</v>
      </c>
      <c r="S20" s="6">
        <v>29</v>
      </c>
      <c r="T20" s="6">
        <v>29.5</v>
      </c>
      <c r="U20" s="6">
        <v>30</v>
      </c>
      <c r="V20" s="98"/>
      <c r="W20" s="98"/>
      <c r="X20" s="38" t="s">
        <v>9</v>
      </c>
      <c r="Y20" s="38" t="s">
        <v>10</v>
      </c>
    </row>
    <row r="21" spans="1:25" x14ac:dyDescent="0.25">
      <c r="A21" s="1" t="s">
        <v>230</v>
      </c>
      <c r="B21" s="2">
        <v>262</v>
      </c>
      <c r="C21" s="2">
        <v>403</v>
      </c>
      <c r="D21" s="2">
        <f>SUM(E21:M21)</f>
        <v>17</v>
      </c>
      <c r="E21" s="2">
        <v>2</v>
      </c>
      <c r="F21" s="2"/>
      <c r="G21" s="2">
        <v>5</v>
      </c>
      <c r="H21" s="2"/>
      <c r="I21" s="2">
        <v>5</v>
      </c>
      <c r="J21" s="2"/>
      <c r="K21" s="2">
        <v>5</v>
      </c>
      <c r="L21" s="2"/>
      <c r="M21" s="2"/>
      <c r="N21" s="10"/>
      <c r="O21" s="10"/>
      <c r="P21" s="10"/>
      <c r="Q21" s="10"/>
      <c r="R21" s="10"/>
      <c r="S21" s="10"/>
      <c r="T21" s="10"/>
      <c r="U21" s="10"/>
      <c r="V21" s="99">
        <v>46146</v>
      </c>
      <c r="W21" s="99"/>
      <c r="X21" s="2"/>
      <c r="Y21" s="2"/>
    </row>
    <row r="22" spans="1:25" x14ac:dyDescent="0.25">
      <c r="A22" s="1" t="s">
        <v>232</v>
      </c>
      <c r="B22" s="2">
        <v>269</v>
      </c>
      <c r="C22" s="2">
        <v>2026</v>
      </c>
      <c r="D22" s="2">
        <f>SUM(E22:U22)</f>
        <v>27</v>
      </c>
      <c r="E22" s="2"/>
      <c r="F22" s="2"/>
      <c r="G22" s="2"/>
      <c r="H22" s="2"/>
      <c r="I22" s="2"/>
      <c r="J22" s="2"/>
      <c r="K22" s="2">
        <v>2</v>
      </c>
      <c r="L22" s="2">
        <v>1</v>
      </c>
      <c r="M22" s="2">
        <v>3</v>
      </c>
      <c r="N22" s="2">
        <v>2</v>
      </c>
      <c r="O22" s="2">
        <v>4</v>
      </c>
      <c r="P22" s="2">
        <v>3</v>
      </c>
      <c r="Q22" s="2">
        <v>4</v>
      </c>
      <c r="R22" s="2">
        <v>3</v>
      </c>
      <c r="S22" s="2">
        <v>2</v>
      </c>
      <c r="T22" s="10">
        <v>1</v>
      </c>
      <c r="U22" s="10">
        <v>2</v>
      </c>
      <c r="V22" s="99">
        <v>46146</v>
      </c>
      <c r="W22" s="99"/>
      <c r="X22" s="1"/>
      <c r="Y22" s="1"/>
    </row>
    <row r="23" spans="1:25" x14ac:dyDescent="0.25">
      <c r="A23" s="7" t="s">
        <v>231</v>
      </c>
      <c r="B23" s="2">
        <v>284</v>
      </c>
      <c r="C23" s="2">
        <v>2446</v>
      </c>
      <c r="D23" s="2">
        <f t="shared" ref="D23:D26" si="1">SUM(E23:R23)</f>
        <v>24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2</v>
      </c>
      <c r="K23" s="2">
        <v>2</v>
      </c>
      <c r="L23" s="2"/>
      <c r="M23" s="2"/>
      <c r="N23" s="2"/>
      <c r="O23" s="2"/>
      <c r="P23" s="2"/>
      <c r="Q23" s="2"/>
      <c r="R23" s="2"/>
      <c r="S23" s="3"/>
      <c r="T23" s="2"/>
      <c r="U23" s="2"/>
      <c r="V23" s="91">
        <v>46147</v>
      </c>
      <c r="W23" s="92"/>
      <c r="X23" s="1"/>
      <c r="Y23" s="1"/>
    </row>
    <row r="24" spans="1:25" x14ac:dyDescent="0.25">
      <c r="A24" s="7" t="s">
        <v>231</v>
      </c>
      <c r="B24" s="2">
        <v>285</v>
      </c>
      <c r="C24" s="2">
        <v>2442</v>
      </c>
      <c r="D24" s="2">
        <f t="shared" si="1"/>
        <v>24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2">
        <v>2</v>
      </c>
      <c r="K24" s="2">
        <v>2</v>
      </c>
      <c r="L24" s="2"/>
      <c r="M24" s="2"/>
      <c r="N24" s="2"/>
      <c r="O24" s="2"/>
      <c r="P24" s="2"/>
      <c r="Q24" s="2"/>
      <c r="R24" s="2"/>
      <c r="S24" s="3"/>
      <c r="T24" s="2"/>
      <c r="U24" s="2"/>
      <c r="V24" s="91">
        <v>46147</v>
      </c>
      <c r="W24" s="92"/>
      <c r="X24" s="1"/>
      <c r="Y24" s="1"/>
    </row>
    <row r="25" spans="1:25" x14ac:dyDescent="0.25">
      <c r="A25" s="1" t="s">
        <v>231</v>
      </c>
      <c r="B25" s="2">
        <v>286</v>
      </c>
      <c r="C25" s="2">
        <v>2467</v>
      </c>
      <c r="D25" s="2">
        <f t="shared" si="1"/>
        <v>24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2</v>
      </c>
      <c r="K25" s="2">
        <v>2</v>
      </c>
      <c r="L25" s="1"/>
      <c r="M25" s="1"/>
      <c r="N25" s="1"/>
      <c r="O25" s="1"/>
      <c r="P25" s="1"/>
      <c r="Q25" s="1"/>
      <c r="R25" s="1"/>
      <c r="S25" s="3"/>
      <c r="T25" s="1"/>
      <c r="U25" s="1"/>
      <c r="V25" s="91">
        <v>46147</v>
      </c>
      <c r="W25" s="92"/>
      <c r="X25" s="1"/>
      <c r="Y25" s="1"/>
    </row>
    <row r="26" spans="1:25" x14ac:dyDescent="0.25">
      <c r="A26" s="1" t="s">
        <v>231</v>
      </c>
      <c r="B26" s="2">
        <v>287</v>
      </c>
      <c r="C26" s="2">
        <v>2401</v>
      </c>
      <c r="D26" s="2">
        <f t="shared" si="1"/>
        <v>24</v>
      </c>
      <c r="E26" s="2">
        <v>4</v>
      </c>
      <c r="F26" s="2">
        <v>4</v>
      </c>
      <c r="G26" s="2">
        <v>4</v>
      </c>
      <c r="H26" s="2">
        <v>4</v>
      </c>
      <c r="I26" s="2">
        <v>4</v>
      </c>
      <c r="J26" s="2">
        <v>2</v>
      </c>
      <c r="K26" s="2">
        <v>2</v>
      </c>
      <c r="L26" s="1"/>
      <c r="M26" s="1"/>
      <c r="N26" s="1"/>
      <c r="O26" s="1"/>
      <c r="P26" s="1"/>
      <c r="Q26" s="1"/>
      <c r="R26" s="1"/>
      <c r="S26" s="3"/>
      <c r="T26" s="1"/>
      <c r="U26" s="1"/>
      <c r="V26" s="91">
        <v>46147</v>
      </c>
      <c r="W26" s="92"/>
      <c r="X26" s="1"/>
      <c r="Y26" s="1"/>
    </row>
    <row r="27" spans="1:25" x14ac:dyDescent="0.25">
      <c r="D27" s="2">
        <f>SUM(D21:D26)</f>
        <v>140</v>
      </c>
    </row>
    <row r="28" spans="1:25" x14ac:dyDescent="0.25">
      <c r="C28" s="48">
        <f>D17+D27</f>
        <v>752</v>
      </c>
    </row>
  </sheetData>
  <mergeCells count="14">
    <mergeCell ref="E19:U19"/>
    <mergeCell ref="V19:W20"/>
    <mergeCell ref="V21:W21"/>
    <mergeCell ref="V22:W22"/>
    <mergeCell ref="A1:D1"/>
    <mergeCell ref="E1:R1"/>
    <mergeCell ref="S1:S2"/>
    <mergeCell ref="T1:U1"/>
    <mergeCell ref="A19:D19"/>
    <mergeCell ref="V26:W26"/>
    <mergeCell ref="X19:Y19"/>
    <mergeCell ref="V23:W23"/>
    <mergeCell ref="V24:W24"/>
    <mergeCell ref="V25:W25"/>
  </mergeCells>
  <pageMargins left="0.7" right="0.7" top="0.75" bottom="0.75" header="0.3" footer="0.3"/>
  <ignoredErrors>
    <ignoredError sqref="D21:D22 D3:D16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4"/>
  <sheetViews>
    <sheetView topLeftCell="A26" workbookViewId="0">
      <selection activeCell="C39" sqref="C39"/>
    </sheetView>
  </sheetViews>
  <sheetFormatPr defaultColWidth="11.42578125" defaultRowHeight="15" x14ac:dyDescent="0.25"/>
  <cols>
    <col min="1" max="1" width="21" customWidth="1"/>
    <col min="5" max="5" width="5.85546875" customWidth="1"/>
    <col min="6" max="6" width="5.7109375" customWidth="1"/>
    <col min="7" max="7" width="5" customWidth="1"/>
    <col min="8" max="8" width="5.5703125" customWidth="1"/>
    <col min="9" max="9" width="5.140625" customWidth="1"/>
    <col min="10" max="10" width="5.28515625" customWidth="1"/>
    <col min="11" max="11" width="4.85546875" customWidth="1"/>
    <col min="12" max="12" width="5.85546875" customWidth="1"/>
    <col min="13" max="13" width="5.140625" customWidth="1"/>
    <col min="14" max="14" width="5.5703125" customWidth="1"/>
    <col min="15" max="15" width="5.28515625" customWidth="1"/>
    <col min="16" max="16" width="5.7109375" customWidth="1"/>
    <col min="17" max="17" width="5.28515625" customWidth="1"/>
    <col min="18" max="18" width="6.28515625" customWidth="1"/>
    <col min="19" max="19" width="14.42578125" customWidth="1"/>
  </cols>
  <sheetData>
    <row r="1" spans="1:21" ht="18.75" x14ac:dyDescent="0.25">
      <c r="A1" s="63" t="s">
        <v>235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226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  <c r="T2" s="22" t="s">
        <v>9</v>
      </c>
      <c r="U2" s="22" t="s">
        <v>10</v>
      </c>
    </row>
    <row r="3" spans="1:21" x14ac:dyDescent="0.25">
      <c r="A3" s="1" t="s">
        <v>236</v>
      </c>
      <c r="B3" s="2">
        <v>292</v>
      </c>
      <c r="C3" s="2">
        <v>3000</v>
      </c>
      <c r="D3" s="34">
        <f>SUM(E3:R3)</f>
        <v>10</v>
      </c>
      <c r="E3" s="2">
        <v>1</v>
      </c>
      <c r="F3" s="2"/>
      <c r="G3" s="2">
        <v>1</v>
      </c>
      <c r="H3" s="2"/>
      <c r="I3" s="2">
        <v>2</v>
      </c>
      <c r="J3" s="2"/>
      <c r="K3" s="2">
        <v>2</v>
      </c>
      <c r="L3" s="2"/>
      <c r="M3" s="2">
        <v>2</v>
      </c>
      <c r="N3" s="2"/>
      <c r="O3" s="2">
        <v>1</v>
      </c>
      <c r="P3" s="2"/>
      <c r="Q3" s="2">
        <v>1</v>
      </c>
      <c r="R3" s="2"/>
      <c r="S3" s="3">
        <v>46153</v>
      </c>
      <c r="T3" s="79"/>
      <c r="U3" s="78"/>
    </row>
    <row r="4" spans="1:21" x14ac:dyDescent="0.25">
      <c r="A4" s="1" t="s">
        <v>236</v>
      </c>
      <c r="B4" s="2">
        <v>293</v>
      </c>
      <c r="C4" s="2">
        <v>3000</v>
      </c>
      <c r="D4" s="34">
        <f t="shared" ref="D4:D18" si="0">SUM(E4:R4)</f>
        <v>10</v>
      </c>
      <c r="E4" s="2">
        <v>1</v>
      </c>
      <c r="F4" s="2"/>
      <c r="G4" s="2">
        <v>1</v>
      </c>
      <c r="H4" s="2"/>
      <c r="I4" s="2">
        <v>2</v>
      </c>
      <c r="J4" s="2"/>
      <c r="K4" s="2">
        <v>2</v>
      </c>
      <c r="L4" s="2"/>
      <c r="M4" s="2">
        <v>2</v>
      </c>
      <c r="N4" s="2"/>
      <c r="O4" s="2">
        <v>1</v>
      </c>
      <c r="P4" s="2"/>
      <c r="Q4" s="2">
        <v>1</v>
      </c>
      <c r="R4" s="2"/>
      <c r="S4" s="3">
        <v>46153</v>
      </c>
      <c r="T4" s="79"/>
      <c r="U4" s="78"/>
    </row>
    <row r="5" spans="1:21" x14ac:dyDescent="0.25">
      <c r="A5" s="1" t="s">
        <v>236</v>
      </c>
      <c r="B5" s="2">
        <v>294</v>
      </c>
      <c r="C5" s="2">
        <v>3000</v>
      </c>
      <c r="D5" s="34">
        <f t="shared" si="0"/>
        <v>10</v>
      </c>
      <c r="E5" s="2">
        <v>1</v>
      </c>
      <c r="F5" s="2"/>
      <c r="G5" s="2">
        <v>1</v>
      </c>
      <c r="H5" s="2"/>
      <c r="I5" s="2">
        <v>2</v>
      </c>
      <c r="J5" s="2"/>
      <c r="K5" s="2">
        <v>2</v>
      </c>
      <c r="L5" s="2"/>
      <c r="M5" s="2">
        <v>2</v>
      </c>
      <c r="N5" s="2"/>
      <c r="O5" s="2">
        <v>1</v>
      </c>
      <c r="P5" s="2"/>
      <c r="Q5" s="2">
        <v>1</v>
      </c>
      <c r="R5" s="2"/>
      <c r="S5" s="3">
        <v>46153</v>
      </c>
      <c r="T5" s="79"/>
      <c r="U5" s="78"/>
    </row>
    <row r="6" spans="1:21" x14ac:dyDescent="0.25">
      <c r="A6" s="1" t="s">
        <v>238</v>
      </c>
      <c r="B6" s="2">
        <v>297</v>
      </c>
      <c r="C6" s="2">
        <v>9240</v>
      </c>
      <c r="D6" s="34">
        <f t="shared" si="0"/>
        <v>48</v>
      </c>
      <c r="E6" s="2">
        <v>8</v>
      </c>
      <c r="F6" s="2"/>
      <c r="G6" s="2">
        <v>8</v>
      </c>
      <c r="H6" s="2"/>
      <c r="I6" s="2">
        <v>8</v>
      </c>
      <c r="J6" s="2"/>
      <c r="K6" s="2">
        <v>6</v>
      </c>
      <c r="L6" s="2"/>
      <c r="M6" s="2">
        <v>6</v>
      </c>
      <c r="N6" s="2"/>
      <c r="O6" s="2">
        <v>6</v>
      </c>
      <c r="P6" s="2"/>
      <c r="Q6" s="2">
        <v>6</v>
      </c>
      <c r="R6" s="2"/>
      <c r="S6" s="3">
        <v>46153</v>
      </c>
      <c r="T6" s="2"/>
      <c r="U6" s="2"/>
    </row>
    <row r="7" spans="1:21" x14ac:dyDescent="0.25">
      <c r="A7" s="1" t="s">
        <v>238</v>
      </c>
      <c r="B7" s="2">
        <v>298</v>
      </c>
      <c r="C7" s="2">
        <v>9240</v>
      </c>
      <c r="D7" s="34">
        <f t="shared" si="0"/>
        <v>48</v>
      </c>
      <c r="E7" s="2">
        <v>8</v>
      </c>
      <c r="F7" s="2"/>
      <c r="G7" s="2">
        <v>8</v>
      </c>
      <c r="H7" s="2"/>
      <c r="I7" s="2">
        <v>8</v>
      </c>
      <c r="J7" s="2"/>
      <c r="K7" s="2">
        <v>6</v>
      </c>
      <c r="L7" s="2"/>
      <c r="M7" s="2">
        <v>6</v>
      </c>
      <c r="N7" s="2"/>
      <c r="O7" s="2">
        <v>6</v>
      </c>
      <c r="P7" s="2"/>
      <c r="Q7" s="2">
        <v>6</v>
      </c>
      <c r="R7" s="2"/>
      <c r="S7" s="3">
        <v>46153</v>
      </c>
      <c r="T7" s="2"/>
      <c r="U7" s="2"/>
    </row>
    <row r="8" spans="1:21" x14ac:dyDescent="0.25">
      <c r="A8" s="1" t="s">
        <v>238</v>
      </c>
      <c r="B8" s="2">
        <v>299</v>
      </c>
      <c r="C8" s="2">
        <v>9240</v>
      </c>
      <c r="D8" s="34">
        <f t="shared" si="0"/>
        <v>48</v>
      </c>
      <c r="E8" s="2">
        <v>8</v>
      </c>
      <c r="F8" s="2"/>
      <c r="G8" s="2">
        <v>8</v>
      </c>
      <c r="H8" s="2"/>
      <c r="I8" s="2">
        <v>8</v>
      </c>
      <c r="J8" s="2"/>
      <c r="K8" s="2">
        <v>6</v>
      </c>
      <c r="L8" s="2"/>
      <c r="M8" s="2">
        <v>6</v>
      </c>
      <c r="N8" s="2"/>
      <c r="O8" s="2">
        <v>6</v>
      </c>
      <c r="P8" s="2"/>
      <c r="Q8" s="2">
        <v>6</v>
      </c>
      <c r="R8" s="2"/>
      <c r="S8" s="3">
        <v>46153</v>
      </c>
      <c r="T8" s="2"/>
      <c r="U8" s="2"/>
    </row>
    <row r="9" spans="1:21" x14ac:dyDescent="0.25">
      <c r="A9" s="1" t="s">
        <v>238</v>
      </c>
      <c r="B9" s="2">
        <v>300</v>
      </c>
      <c r="C9" s="2">
        <v>9240</v>
      </c>
      <c r="D9" s="34">
        <f t="shared" si="0"/>
        <v>48</v>
      </c>
      <c r="E9" s="2">
        <v>8</v>
      </c>
      <c r="F9" s="2"/>
      <c r="G9" s="2">
        <v>8</v>
      </c>
      <c r="H9" s="2"/>
      <c r="I9" s="2">
        <v>8</v>
      </c>
      <c r="J9" s="2"/>
      <c r="K9" s="2">
        <v>6</v>
      </c>
      <c r="L9" s="2"/>
      <c r="M9" s="2">
        <v>6</v>
      </c>
      <c r="N9" s="2"/>
      <c r="O9" s="2">
        <v>6</v>
      </c>
      <c r="P9" s="2"/>
      <c r="Q9" s="2">
        <v>6</v>
      </c>
      <c r="R9" s="2"/>
      <c r="S9" s="3">
        <v>46153</v>
      </c>
      <c r="T9" s="2"/>
      <c r="U9" s="2"/>
    </row>
    <row r="10" spans="1:21" x14ac:dyDescent="0.25">
      <c r="A10" s="1" t="s">
        <v>238</v>
      </c>
      <c r="B10" s="2">
        <v>301</v>
      </c>
      <c r="C10" s="2">
        <v>9240</v>
      </c>
      <c r="D10" s="34">
        <f t="shared" si="0"/>
        <v>48</v>
      </c>
      <c r="E10" s="2">
        <v>8</v>
      </c>
      <c r="F10" s="2"/>
      <c r="G10" s="2">
        <v>8</v>
      </c>
      <c r="H10" s="2"/>
      <c r="I10" s="2">
        <v>8</v>
      </c>
      <c r="J10" s="2"/>
      <c r="K10" s="2">
        <v>6</v>
      </c>
      <c r="L10" s="2"/>
      <c r="M10" s="2">
        <v>6</v>
      </c>
      <c r="N10" s="2"/>
      <c r="O10" s="2">
        <v>6</v>
      </c>
      <c r="P10" s="2"/>
      <c r="Q10" s="2">
        <v>6</v>
      </c>
      <c r="R10" s="2"/>
      <c r="S10" s="3">
        <v>46153</v>
      </c>
      <c r="T10" s="2"/>
      <c r="U10" s="2"/>
    </row>
    <row r="11" spans="1:21" x14ac:dyDescent="0.25">
      <c r="A11" s="1" t="s">
        <v>238</v>
      </c>
      <c r="B11" s="2">
        <v>302</v>
      </c>
      <c r="C11" s="2">
        <v>9240</v>
      </c>
      <c r="D11" s="34">
        <f t="shared" si="0"/>
        <v>48</v>
      </c>
      <c r="E11" s="2">
        <v>6</v>
      </c>
      <c r="F11" s="2"/>
      <c r="G11" s="2">
        <v>2</v>
      </c>
      <c r="H11" s="2"/>
      <c r="I11" s="2">
        <v>7</v>
      </c>
      <c r="J11" s="2"/>
      <c r="K11" s="2">
        <v>7</v>
      </c>
      <c r="L11" s="2"/>
      <c r="M11" s="2">
        <v>7</v>
      </c>
      <c r="N11" s="2"/>
      <c r="O11" s="2">
        <v>10</v>
      </c>
      <c r="P11" s="2"/>
      <c r="Q11" s="2">
        <v>9</v>
      </c>
      <c r="R11" s="2"/>
      <c r="S11" s="3">
        <v>46153</v>
      </c>
      <c r="T11" s="2"/>
      <c r="U11" s="2"/>
    </row>
    <row r="12" spans="1:21" x14ac:dyDescent="0.25">
      <c r="A12" s="1" t="s">
        <v>238</v>
      </c>
      <c r="B12" s="2">
        <v>303</v>
      </c>
      <c r="C12" s="2">
        <v>9240</v>
      </c>
      <c r="D12" s="34">
        <f t="shared" si="0"/>
        <v>48</v>
      </c>
      <c r="E12" s="2">
        <v>6</v>
      </c>
      <c r="F12" s="2"/>
      <c r="G12" s="2">
        <v>3</v>
      </c>
      <c r="H12" s="2"/>
      <c r="I12" s="2">
        <v>8</v>
      </c>
      <c r="J12" s="2"/>
      <c r="K12" s="2">
        <v>7</v>
      </c>
      <c r="L12" s="2"/>
      <c r="M12" s="2">
        <v>6</v>
      </c>
      <c r="N12" s="2"/>
      <c r="O12" s="2">
        <v>10</v>
      </c>
      <c r="P12" s="2"/>
      <c r="Q12" s="2">
        <v>8</v>
      </c>
      <c r="R12" s="2"/>
      <c r="S12" s="3">
        <v>46153</v>
      </c>
      <c r="T12" s="2" t="s">
        <v>53</v>
      </c>
      <c r="U12" s="2" t="s">
        <v>53</v>
      </c>
    </row>
    <row r="13" spans="1:21" x14ac:dyDescent="0.25">
      <c r="A13" s="1" t="s">
        <v>238</v>
      </c>
      <c r="B13" s="2">
        <v>304</v>
      </c>
      <c r="C13" s="2">
        <v>9240</v>
      </c>
      <c r="D13" s="34">
        <f t="shared" si="0"/>
        <v>48</v>
      </c>
      <c r="E13" s="2">
        <v>6</v>
      </c>
      <c r="F13" s="2"/>
      <c r="G13" s="2">
        <v>3</v>
      </c>
      <c r="H13" s="2"/>
      <c r="I13" s="2">
        <v>7</v>
      </c>
      <c r="J13" s="2"/>
      <c r="K13" s="2">
        <v>8</v>
      </c>
      <c r="L13" s="2"/>
      <c r="M13" s="2">
        <v>6</v>
      </c>
      <c r="N13" s="2"/>
      <c r="O13" s="2">
        <v>10</v>
      </c>
      <c r="P13" s="2"/>
      <c r="Q13" s="2">
        <v>8</v>
      </c>
      <c r="R13" s="2"/>
      <c r="S13" s="3">
        <v>46154</v>
      </c>
      <c r="T13" s="2" t="s">
        <v>53</v>
      </c>
      <c r="U13" s="2" t="s">
        <v>53</v>
      </c>
    </row>
    <row r="14" spans="1:21" x14ac:dyDescent="0.25">
      <c r="A14" s="1" t="s">
        <v>238</v>
      </c>
      <c r="B14" s="2">
        <v>305</v>
      </c>
      <c r="C14" s="2">
        <v>9240</v>
      </c>
      <c r="D14" s="34">
        <f t="shared" si="0"/>
        <v>48</v>
      </c>
      <c r="E14" s="2">
        <v>5</v>
      </c>
      <c r="F14" s="2"/>
      <c r="G14" s="2">
        <v>3</v>
      </c>
      <c r="H14" s="2"/>
      <c r="I14" s="2">
        <v>8</v>
      </c>
      <c r="J14" s="2"/>
      <c r="K14" s="2">
        <v>8</v>
      </c>
      <c r="L14" s="2"/>
      <c r="M14" s="2">
        <v>6</v>
      </c>
      <c r="N14" s="2"/>
      <c r="O14" s="2">
        <v>10</v>
      </c>
      <c r="P14" s="2"/>
      <c r="Q14" s="2">
        <v>8</v>
      </c>
      <c r="R14" s="2"/>
      <c r="S14" s="3">
        <v>46154</v>
      </c>
      <c r="T14" s="2"/>
      <c r="U14" s="2"/>
    </row>
    <row r="15" spans="1:21" x14ac:dyDescent="0.25">
      <c r="A15" s="1" t="s">
        <v>238</v>
      </c>
      <c r="B15" s="2">
        <v>306</v>
      </c>
      <c r="C15" s="2">
        <v>9240</v>
      </c>
      <c r="D15" s="34">
        <f t="shared" si="0"/>
        <v>48</v>
      </c>
      <c r="E15" s="2">
        <v>6</v>
      </c>
      <c r="F15" s="2"/>
      <c r="G15" s="2">
        <v>3</v>
      </c>
      <c r="H15" s="2"/>
      <c r="I15" s="2">
        <v>7</v>
      </c>
      <c r="J15" s="2"/>
      <c r="K15" s="2">
        <v>8</v>
      </c>
      <c r="L15" s="2"/>
      <c r="M15" s="2">
        <v>6</v>
      </c>
      <c r="N15" s="2"/>
      <c r="O15" s="2">
        <v>10</v>
      </c>
      <c r="P15" s="2"/>
      <c r="Q15" s="2">
        <v>8</v>
      </c>
      <c r="R15" s="2"/>
      <c r="S15" s="3">
        <v>46154</v>
      </c>
      <c r="T15" s="2"/>
      <c r="U15" s="2"/>
    </row>
    <row r="16" spans="1:21" x14ac:dyDescent="0.25">
      <c r="A16" s="1" t="s">
        <v>29</v>
      </c>
      <c r="B16" s="2">
        <v>307</v>
      </c>
      <c r="C16" s="2">
        <v>9262</v>
      </c>
      <c r="D16" s="34">
        <f t="shared" si="0"/>
        <v>24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  <c r="K16" s="2">
        <v>2</v>
      </c>
      <c r="L16" s="2">
        <v>1</v>
      </c>
      <c r="M16" s="2">
        <v>2</v>
      </c>
      <c r="N16" s="2">
        <v>1</v>
      </c>
      <c r="O16" s="2">
        <v>2</v>
      </c>
      <c r="P16" s="2">
        <v>1</v>
      </c>
      <c r="Q16" s="2">
        <v>2</v>
      </c>
      <c r="R16" s="2">
        <v>1</v>
      </c>
      <c r="S16" s="3">
        <v>46154</v>
      </c>
      <c r="T16" s="2"/>
      <c r="U16" s="2"/>
    </row>
    <row r="17" spans="1:21" x14ac:dyDescent="0.25">
      <c r="A17" s="1" t="s">
        <v>29</v>
      </c>
      <c r="B17" s="2">
        <v>308</v>
      </c>
      <c r="C17" s="2">
        <v>9264</v>
      </c>
      <c r="D17" s="34">
        <f t="shared" si="0"/>
        <v>24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1</v>
      </c>
      <c r="M17" s="2">
        <v>2</v>
      </c>
      <c r="N17" s="2">
        <v>1</v>
      </c>
      <c r="O17" s="2">
        <v>2</v>
      </c>
      <c r="P17" s="2">
        <v>1</v>
      </c>
      <c r="Q17" s="2">
        <v>2</v>
      </c>
      <c r="R17" s="2">
        <v>1</v>
      </c>
      <c r="S17" s="3">
        <v>46154</v>
      </c>
      <c r="T17" s="2"/>
      <c r="U17" s="2"/>
    </row>
    <row r="18" spans="1:21" x14ac:dyDescent="0.25">
      <c r="A18" s="1" t="s">
        <v>29</v>
      </c>
      <c r="B18" s="2">
        <v>309</v>
      </c>
      <c r="C18" s="2">
        <v>2605</v>
      </c>
      <c r="D18" s="34">
        <f t="shared" si="0"/>
        <v>24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2">
        <v>1</v>
      </c>
      <c r="M18" s="2">
        <v>2</v>
      </c>
      <c r="N18" s="2">
        <v>1</v>
      </c>
      <c r="O18" s="2">
        <v>2</v>
      </c>
      <c r="P18" s="2">
        <v>1</v>
      </c>
      <c r="Q18" s="2">
        <v>2</v>
      </c>
      <c r="R18" s="2">
        <v>1</v>
      </c>
      <c r="S18" s="3">
        <v>46154</v>
      </c>
      <c r="T18" s="2" t="s">
        <v>25</v>
      </c>
      <c r="U18" s="2" t="s">
        <v>25</v>
      </c>
    </row>
    <row r="19" spans="1:21" x14ac:dyDescent="0.25">
      <c r="A19" s="1" t="s">
        <v>33</v>
      </c>
      <c r="B19" s="2">
        <v>310</v>
      </c>
      <c r="C19" s="2">
        <v>9225</v>
      </c>
      <c r="D19" s="34">
        <f t="shared" ref="D19:D31" si="1">SUM(E19:R19)</f>
        <v>60</v>
      </c>
      <c r="E19" s="2">
        <v>2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>
        <v>8</v>
      </c>
      <c r="L19" s="2">
        <v>4</v>
      </c>
      <c r="M19" s="2">
        <v>8</v>
      </c>
      <c r="N19" s="2">
        <v>4</v>
      </c>
      <c r="O19" s="2">
        <v>8</v>
      </c>
      <c r="P19" s="2">
        <v>4</v>
      </c>
      <c r="Q19" s="2">
        <v>8</v>
      </c>
      <c r="R19" s="2">
        <v>4</v>
      </c>
      <c r="S19" s="3">
        <v>46154</v>
      </c>
      <c r="T19" s="2"/>
      <c r="U19" s="2"/>
    </row>
    <row r="20" spans="1:21" x14ac:dyDescent="0.25">
      <c r="A20" s="1" t="s">
        <v>33</v>
      </c>
      <c r="B20" s="2">
        <v>311</v>
      </c>
      <c r="C20" s="2">
        <v>9218</v>
      </c>
      <c r="D20" s="34">
        <f t="shared" si="1"/>
        <v>60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8</v>
      </c>
      <c r="L20" s="2">
        <v>4</v>
      </c>
      <c r="M20" s="2">
        <v>8</v>
      </c>
      <c r="N20" s="2">
        <v>4</v>
      </c>
      <c r="O20" s="2">
        <v>8</v>
      </c>
      <c r="P20" s="2">
        <v>4</v>
      </c>
      <c r="Q20" s="2">
        <v>8</v>
      </c>
      <c r="R20" s="2">
        <v>4</v>
      </c>
      <c r="S20" s="3">
        <v>46154</v>
      </c>
      <c r="T20" s="2" t="s">
        <v>25</v>
      </c>
      <c r="U20" s="2" t="s">
        <v>25</v>
      </c>
    </row>
    <row r="21" spans="1:21" x14ac:dyDescent="0.25">
      <c r="A21" s="1" t="s">
        <v>33</v>
      </c>
      <c r="B21" s="2">
        <v>312</v>
      </c>
      <c r="C21" s="2">
        <v>9228</v>
      </c>
      <c r="D21" s="34">
        <f t="shared" si="1"/>
        <v>60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8</v>
      </c>
      <c r="L21" s="2">
        <v>4</v>
      </c>
      <c r="M21" s="2">
        <v>8</v>
      </c>
      <c r="N21" s="2">
        <v>4</v>
      </c>
      <c r="O21" s="2">
        <v>8</v>
      </c>
      <c r="P21" s="2">
        <v>4</v>
      </c>
      <c r="Q21" s="2">
        <v>8</v>
      </c>
      <c r="R21" s="2">
        <v>4</v>
      </c>
      <c r="S21" s="3">
        <v>46154</v>
      </c>
      <c r="T21" s="2"/>
      <c r="U21" s="2"/>
    </row>
    <row r="22" spans="1:21" x14ac:dyDescent="0.25">
      <c r="A22" s="1" t="s">
        <v>239</v>
      </c>
      <c r="B22" s="2">
        <v>313</v>
      </c>
      <c r="C22" s="2">
        <v>9205</v>
      </c>
      <c r="D22" s="34">
        <f t="shared" si="1"/>
        <v>48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2</v>
      </c>
      <c r="M22" s="2">
        <v>4</v>
      </c>
      <c r="N22" s="2">
        <v>2</v>
      </c>
      <c r="O22" s="2">
        <v>4</v>
      </c>
      <c r="P22" s="2">
        <v>2</v>
      </c>
      <c r="Q22" s="2">
        <v>4</v>
      </c>
      <c r="R22" s="2">
        <v>2</v>
      </c>
      <c r="S22" s="3">
        <v>46154</v>
      </c>
      <c r="T22" s="2" t="s">
        <v>25</v>
      </c>
      <c r="U22" s="2" t="s">
        <v>25</v>
      </c>
    </row>
    <row r="23" spans="1:21" x14ac:dyDescent="0.25">
      <c r="A23" s="1" t="s">
        <v>239</v>
      </c>
      <c r="B23" s="2">
        <v>314</v>
      </c>
      <c r="C23" s="2">
        <v>9212</v>
      </c>
      <c r="D23" s="34">
        <f t="shared" si="1"/>
        <v>48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4</v>
      </c>
      <c r="K23" s="2">
        <v>4</v>
      </c>
      <c r="L23" s="2">
        <v>2</v>
      </c>
      <c r="M23" s="2">
        <v>4</v>
      </c>
      <c r="N23" s="2">
        <v>2</v>
      </c>
      <c r="O23" s="2">
        <v>4</v>
      </c>
      <c r="P23" s="2">
        <v>2</v>
      </c>
      <c r="Q23" s="2">
        <v>4</v>
      </c>
      <c r="R23" s="2">
        <v>2</v>
      </c>
      <c r="S23" s="3">
        <v>46154</v>
      </c>
      <c r="T23" s="2"/>
      <c r="U23" s="2"/>
    </row>
    <row r="24" spans="1:21" x14ac:dyDescent="0.25">
      <c r="A24" s="1" t="s">
        <v>239</v>
      </c>
      <c r="B24" s="2">
        <v>315</v>
      </c>
      <c r="C24" s="2">
        <v>9201</v>
      </c>
      <c r="D24" s="34">
        <f t="shared" si="1"/>
        <v>48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2">
        <v>4</v>
      </c>
      <c r="K24" s="2">
        <v>4</v>
      </c>
      <c r="L24" s="2">
        <v>2</v>
      </c>
      <c r="M24" s="2">
        <v>4</v>
      </c>
      <c r="N24" s="2">
        <v>2</v>
      </c>
      <c r="O24" s="2">
        <v>4</v>
      </c>
      <c r="P24" s="2">
        <v>2</v>
      </c>
      <c r="Q24" s="2">
        <v>4</v>
      </c>
      <c r="R24" s="2">
        <v>2</v>
      </c>
      <c r="S24" s="3">
        <v>46154</v>
      </c>
      <c r="T24" s="2"/>
      <c r="U24" s="2"/>
    </row>
    <row r="25" spans="1:21" x14ac:dyDescent="0.25">
      <c r="A25" s="1" t="s">
        <v>239</v>
      </c>
      <c r="B25" s="2">
        <v>316</v>
      </c>
      <c r="C25" s="2">
        <v>9208</v>
      </c>
      <c r="D25" s="34">
        <f t="shared" si="1"/>
        <v>48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4</v>
      </c>
      <c r="L25" s="2">
        <v>2</v>
      </c>
      <c r="M25" s="2">
        <v>4</v>
      </c>
      <c r="N25" s="2">
        <v>2</v>
      </c>
      <c r="O25" s="2">
        <v>4</v>
      </c>
      <c r="P25" s="2">
        <v>2</v>
      </c>
      <c r="Q25" s="2">
        <v>4</v>
      </c>
      <c r="R25" s="2">
        <v>2</v>
      </c>
      <c r="S25" s="3">
        <v>46154</v>
      </c>
      <c r="T25" s="2"/>
      <c r="U25" s="2"/>
    </row>
    <row r="26" spans="1:21" x14ac:dyDescent="0.25">
      <c r="A26" s="1" t="s">
        <v>238</v>
      </c>
      <c r="B26" s="2">
        <v>321</v>
      </c>
      <c r="C26" s="2" t="s">
        <v>240</v>
      </c>
      <c r="D26" s="34">
        <f t="shared" si="1"/>
        <v>53</v>
      </c>
      <c r="E26" s="2">
        <v>6</v>
      </c>
      <c r="F26" s="2"/>
      <c r="G26" s="2">
        <v>8</v>
      </c>
      <c r="H26" s="2"/>
      <c r="I26" s="2">
        <v>8</v>
      </c>
      <c r="J26" s="2"/>
      <c r="K26" s="2">
        <v>8</v>
      </c>
      <c r="L26" s="2"/>
      <c r="M26" s="2">
        <v>8</v>
      </c>
      <c r="N26" s="2"/>
      <c r="O26" s="2">
        <v>7</v>
      </c>
      <c r="P26" s="2"/>
      <c r="Q26" s="2">
        <v>8</v>
      </c>
      <c r="R26" s="2"/>
      <c r="S26" s="3">
        <v>46155</v>
      </c>
      <c r="T26" s="2"/>
      <c r="U26" s="2"/>
    </row>
    <row r="27" spans="1:21" x14ac:dyDescent="0.25">
      <c r="A27" s="1" t="s">
        <v>238</v>
      </c>
      <c r="B27" s="2">
        <v>322</v>
      </c>
      <c r="C27" s="2" t="s">
        <v>240</v>
      </c>
      <c r="D27" s="34">
        <f t="shared" si="1"/>
        <v>52</v>
      </c>
      <c r="E27" s="2">
        <v>6</v>
      </c>
      <c r="F27" s="2"/>
      <c r="G27" s="2">
        <v>7</v>
      </c>
      <c r="H27" s="2"/>
      <c r="I27" s="2">
        <v>9</v>
      </c>
      <c r="J27" s="2"/>
      <c r="K27" s="2">
        <v>7</v>
      </c>
      <c r="L27" s="2"/>
      <c r="M27" s="2">
        <v>8</v>
      </c>
      <c r="N27" s="2"/>
      <c r="O27" s="2">
        <v>7</v>
      </c>
      <c r="P27" s="2"/>
      <c r="Q27" s="2">
        <v>8</v>
      </c>
      <c r="R27" s="2"/>
      <c r="S27" s="3">
        <v>46155</v>
      </c>
      <c r="T27" s="2"/>
      <c r="U27" s="2"/>
    </row>
    <row r="28" spans="1:21" x14ac:dyDescent="0.25">
      <c r="A28" s="1" t="s">
        <v>238</v>
      </c>
      <c r="B28" s="2">
        <v>323</v>
      </c>
      <c r="C28" s="2" t="s">
        <v>240</v>
      </c>
      <c r="D28" s="34">
        <f t="shared" si="1"/>
        <v>52</v>
      </c>
      <c r="E28" s="2">
        <v>6</v>
      </c>
      <c r="F28" s="2"/>
      <c r="G28" s="2">
        <v>7</v>
      </c>
      <c r="H28" s="2"/>
      <c r="I28" s="2">
        <v>8</v>
      </c>
      <c r="J28" s="2"/>
      <c r="K28" s="2">
        <v>7</v>
      </c>
      <c r="L28" s="2"/>
      <c r="M28" s="2">
        <v>7</v>
      </c>
      <c r="N28" s="2"/>
      <c r="O28" s="2">
        <v>8</v>
      </c>
      <c r="P28" s="2"/>
      <c r="Q28" s="2">
        <v>9</v>
      </c>
      <c r="R28" s="2"/>
      <c r="S28" s="3">
        <v>46155</v>
      </c>
      <c r="T28" s="2"/>
      <c r="U28" s="2"/>
    </row>
    <row r="29" spans="1:21" x14ac:dyDescent="0.25">
      <c r="A29" s="1" t="s">
        <v>238</v>
      </c>
      <c r="B29" s="2">
        <v>324</v>
      </c>
      <c r="C29" s="2" t="s">
        <v>240</v>
      </c>
      <c r="D29" s="34">
        <f t="shared" si="1"/>
        <v>53</v>
      </c>
      <c r="E29" s="2">
        <v>6</v>
      </c>
      <c r="F29" s="2"/>
      <c r="G29" s="2">
        <v>8</v>
      </c>
      <c r="H29" s="2"/>
      <c r="I29" s="2">
        <v>8</v>
      </c>
      <c r="J29" s="2"/>
      <c r="K29" s="2">
        <v>8</v>
      </c>
      <c r="L29" s="2"/>
      <c r="M29" s="2">
        <v>8</v>
      </c>
      <c r="N29" s="2"/>
      <c r="O29" s="2">
        <v>7</v>
      </c>
      <c r="P29" s="2"/>
      <c r="Q29" s="2">
        <v>8</v>
      </c>
      <c r="R29" s="2"/>
      <c r="S29" s="3">
        <v>46155</v>
      </c>
      <c r="T29" s="2"/>
      <c r="U29" s="2" t="s">
        <v>25</v>
      </c>
    </row>
    <row r="30" spans="1:21" x14ac:dyDescent="0.25">
      <c r="A30" s="1" t="s">
        <v>238</v>
      </c>
      <c r="B30" s="2">
        <v>325</v>
      </c>
      <c r="C30" s="2" t="s">
        <v>240</v>
      </c>
      <c r="D30" s="34">
        <f t="shared" si="1"/>
        <v>52</v>
      </c>
      <c r="E30" s="2">
        <v>6</v>
      </c>
      <c r="F30" s="2"/>
      <c r="G30" s="2">
        <v>7</v>
      </c>
      <c r="H30" s="2"/>
      <c r="I30" s="2">
        <v>9</v>
      </c>
      <c r="J30" s="2"/>
      <c r="K30" s="2">
        <v>7</v>
      </c>
      <c r="L30" s="2"/>
      <c r="M30" s="2">
        <v>8</v>
      </c>
      <c r="N30" s="2"/>
      <c r="O30" s="2">
        <v>7</v>
      </c>
      <c r="P30" s="2"/>
      <c r="Q30" s="2">
        <v>8</v>
      </c>
      <c r="R30" s="2"/>
      <c r="S30" s="3">
        <v>46155</v>
      </c>
      <c r="T30" s="2"/>
      <c r="U30" s="2"/>
    </row>
    <row r="31" spans="1:21" x14ac:dyDescent="0.25">
      <c r="A31" s="1" t="s">
        <v>238</v>
      </c>
      <c r="B31" s="2">
        <v>326</v>
      </c>
      <c r="C31" s="2" t="s">
        <v>240</v>
      </c>
      <c r="D31" s="34">
        <f t="shared" si="1"/>
        <v>52</v>
      </c>
      <c r="E31" s="2">
        <v>6</v>
      </c>
      <c r="F31" s="2"/>
      <c r="G31" s="2">
        <v>7</v>
      </c>
      <c r="H31" s="2"/>
      <c r="I31" s="2">
        <v>8</v>
      </c>
      <c r="J31" s="2"/>
      <c r="K31" s="2">
        <v>7</v>
      </c>
      <c r="L31" s="2"/>
      <c r="M31" s="2">
        <v>8</v>
      </c>
      <c r="N31" s="2"/>
      <c r="O31" s="2">
        <v>7</v>
      </c>
      <c r="P31" s="2"/>
      <c r="Q31" s="2">
        <v>9</v>
      </c>
      <c r="R31" s="2"/>
      <c r="S31" s="3">
        <v>46155</v>
      </c>
      <c r="T31" s="2"/>
      <c r="U31" s="2"/>
    </row>
    <row r="32" spans="1:21" x14ac:dyDescent="0.25">
      <c r="D32" s="10">
        <f>SUM(D3:D31)</f>
        <v>1268</v>
      </c>
    </row>
    <row r="33" spans="1:18" ht="18.75" customHeight="1" x14ac:dyDescent="0.25">
      <c r="A33" s="63" t="s">
        <v>235</v>
      </c>
      <c r="B33" s="63"/>
      <c r="C33" s="63"/>
      <c r="D33" s="63"/>
      <c r="E33" s="100" t="s">
        <v>4</v>
      </c>
      <c r="F33" s="101"/>
      <c r="G33" s="101"/>
      <c r="H33" s="101"/>
      <c r="I33" s="101"/>
      <c r="J33" s="101"/>
      <c r="K33" s="101"/>
      <c r="L33" s="102"/>
      <c r="M33" s="93" t="s">
        <v>233</v>
      </c>
      <c r="N33" s="94"/>
      <c r="O33" s="98" t="s">
        <v>6</v>
      </c>
      <c r="P33" s="98"/>
      <c r="Q33" s="98"/>
      <c r="R33" s="98"/>
    </row>
    <row r="34" spans="1:18" ht="25.5" customHeight="1" x14ac:dyDescent="0.25">
      <c r="A34" s="6" t="s">
        <v>0</v>
      </c>
      <c r="B34" s="6" t="s">
        <v>1</v>
      </c>
      <c r="C34" s="6" t="s">
        <v>3</v>
      </c>
      <c r="D34" s="12" t="s">
        <v>2</v>
      </c>
      <c r="E34" s="6">
        <v>22</v>
      </c>
      <c r="F34" s="6">
        <v>22.5</v>
      </c>
      <c r="G34" s="6">
        <v>23</v>
      </c>
      <c r="H34" s="6">
        <v>23.5</v>
      </c>
      <c r="I34" s="6">
        <v>24</v>
      </c>
      <c r="J34" s="6">
        <v>24.5</v>
      </c>
      <c r="K34" s="6">
        <v>25</v>
      </c>
      <c r="L34" s="6">
        <v>25.5</v>
      </c>
      <c r="M34" s="104"/>
      <c r="N34" s="105"/>
      <c r="O34" s="98" t="s">
        <v>9</v>
      </c>
      <c r="P34" s="98"/>
      <c r="Q34" s="98" t="s">
        <v>10</v>
      </c>
      <c r="R34" s="98"/>
    </row>
    <row r="35" spans="1:18" x14ac:dyDescent="0.25">
      <c r="A35" s="1" t="s">
        <v>237</v>
      </c>
      <c r="B35" s="2">
        <v>295</v>
      </c>
      <c r="C35" s="2">
        <v>2403</v>
      </c>
      <c r="D35" s="34">
        <f>SUM(E35:K35)</f>
        <v>12</v>
      </c>
      <c r="E35" s="2">
        <v>1</v>
      </c>
      <c r="F35" s="2">
        <v>1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1"/>
      <c r="M35" s="76">
        <v>46153</v>
      </c>
      <c r="N35" s="78"/>
      <c r="O35" s="79"/>
      <c r="P35" s="78"/>
      <c r="Q35" s="79"/>
      <c r="R35" s="78"/>
    </row>
    <row r="36" spans="1:18" x14ac:dyDescent="0.25">
      <c r="A36" s="1" t="s">
        <v>237</v>
      </c>
      <c r="B36" s="2">
        <v>296</v>
      </c>
      <c r="C36" s="2">
        <v>2404</v>
      </c>
      <c r="D36" s="34">
        <f>SUM(E36:K36)</f>
        <v>12</v>
      </c>
      <c r="E36" s="2">
        <v>1</v>
      </c>
      <c r="F36" s="2">
        <v>1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1"/>
      <c r="M36" s="76">
        <v>46153</v>
      </c>
      <c r="N36" s="78"/>
      <c r="O36" s="79"/>
      <c r="P36" s="78"/>
      <c r="Q36" s="79"/>
      <c r="R36" s="78"/>
    </row>
    <row r="37" spans="1:18" x14ac:dyDescent="0.25">
      <c r="A37" s="1" t="s">
        <v>230</v>
      </c>
      <c r="B37" s="2">
        <v>320</v>
      </c>
      <c r="C37" s="2">
        <v>804</v>
      </c>
      <c r="D37" s="34">
        <f>SUM(E37:K37)</f>
        <v>30</v>
      </c>
      <c r="E37" s="2">
        <v>4</v>
      </c>
      <c r="F37" s="2">
        <v>3</v>
      </c>
      <c r="G37" s="2">
        <v>5</v>
      </c>
      <c r="H37" s="2">
        <v>3</v>
      </c>
      <c r="I37" s="2">
        <v>6</v>
      </c>
      <c r="J37" s="2">
        <v>4</v>
      </c>
      <c r="K37" s="2">
        <v>5</v>
      </c>
      <c r="L37" s="2">
        <v>4</v>
      </c>
      <c r="M37" s="91">
        <v>46154</v>
      </c>
      <c r="N37" s="92"/>
      <c r="O37" s="103"/>
      <c r="P37" s="92"/>
      <c r="Q37" s="103"/>
      <c r="R37" s="92"/>
    </row>
    <row r="38" spans="1:18" x14ac:dyDescent="0.25">
      <c r="D38" s="10">
        <f>SUM(D35:D37)</f>
        <v>54</v>
      </c>
    </row>
    <row r="39" spans="1:18" x14ac:dyDescent="0.25">
      <c r="C39" s="48">
        <f>D32+D38</f>
        <v>1322</v>
      </c>
    </row>
    <row r="40" spans="1:18" x14ac:dyDescent="0.25">
      <c r="D40" s="16"/>
    </row>
    <row r="41" spans="1:18" x14ac:dyDescent="0.25">
      <c r="D41" s="16"/>
    </row>
    <row r="42" spans="1:18" x14ac:dyDescent="0.25">
      <c r="D42" s="16"/>
    </row>
    <row r="44" spans="1:18" x14ac:dyDescent="0.25">
      <c r="D44" s="16"/>
    </row>
    <row r="45" spans="1:18" x14ac:dyDescent="0.25">
      <c r="D45" s="16"/>
    </row>
    <row r="46" spans="1:18" x14ac:dyDescent="0.25">
      <c r="D46" s="16"/>
    </row>
    <row r="48" spans="1:18" x14ac:dyDescent="0.25">
      <c r="D48" s="16"/>
    </row>
    <row r="49" spans="4:4" x14ac:dyDescent="0.25">
      <c r="D49" s="16"/>
    </row>
    <row r="50" spans="4:4" x14ac:dyDescent="0.25">
      <c r="D50" s="16"/>
    </row>
    <row r="52" spans="4:4" x14ac:dyDescent="0.25">
      <c r="D52" s="16"/>
    </row>
    <row r="53" spans="4:4" x14ac:dyDescent="0.25">
      <c r="D53" s="16"/>
    </row>
    <row r="54" spans="4:4" x14ac:dyDescent="0.25">
      <c r="D54" s="16"/>
    </row>
    <row r="56" spans="4:4" x14ac:dyDescent="0.25">
      <c r="D56" s="16"/>
    </row>
    <row r="57" spans="4:4" x14ac:dyDescent="0.25">
      <c r="D57" s="16"/>
    </row>
    <row r="58" spans="4:4" x14ac:dyDescent="0.25">
      <c r="D58" s="16"/>
    </row>
    <row r="60" spans="4:4" x14ac:dyDescent="0.25">
      <c r="D60" s="16"/>
    </row>
    <row r="61" spans="4:4" x14ac:dyDescent="0.25">
      <c r="D61" s="16"/>
    </row>
    <row r="62" spans="4:4" x14ac:dyDescent="0.25">
      <c r="D62" s="16"/>
    </row>
    <row r="64" spans="4:4" x14ac:dyDescent="0.25">
      <c r="D64" s="16"/>
    </row>
    <row r="65" spans="4:4" x14ac:dyDescent="0.25">
      <c r="D65" s="16"/>
    </row>
    <row r="66" spans="4:4" x14ac:dyDescent="0.25">
      <c r="D66" s="16"/>
    </row>
    <row r="68" spans="4:4" x14ac:dyDescent="0.25">
      <c r="D68" s="16"/>
    </row>
    <row r="69" spans="4:4" x14ac:dyDescent="0.25">
      <c r="D69" s="16"/>
    </row>
    <row r="70" spans="4:4" x14ac:dyDescent="0.25">
      <c r="D70" s="16"/>
    </row>
    <row r="72" spans="4:4" x14ac:dyDescent="0.25">
      <c r="D72" s="16"/>
    </row>
    <row r="73" spans="4:4" x14ac:dyDescent="0.25">
      <c r="D73" s="16"/>
    </row>
    <row r="74" spans="4:4" x14ac:dyDescent="0.25">
      <c r="D74" s="16"/>
    </row>
    <row r="76" spans="4:4" x14ac:dyDescent="0.25">
      <c r="D76" s="16"/>
    </row>
    <row r="77" spans="4:4" x14ac:dyDescent="0.25">
      <c r="D77" s="16"/>
    </row>
    <row r="78" spans="4:4" x14ac:dyDescent="0.25">
      <c r="D78" s="16"/>
    </row>
    <row r="80" spans="4:4" x14ac:dyDescent="0.25">
      <c r="D80" s="16"/>
    </row>
    <row r="81" spans="4:4" x14ac:dyDescent="0.25">
      <c r="D81" s="16"/>
    </row>
    <row r="82" spans="4:4" x14ac:dyDescent="0.25">
      <c r="D82" s="16"/>
    </row>
    <row r="84" spans="4:4" x14ac:dyDescent="0.25">
      <c r="D84" s="16"/>
    </row>
    <row r="85" spans="4:4" x14ac:dyDescent="0.25">
      <c r="D85" s="16"/>
    </row>
    <row r="86" spans="4:4" x14ac:dyDescent="0.25">
      <c r="D86" s="16"/>
    </row>
    <row r="88" spans="4:4" x14ac:dyDescent="0.25">
      <c r="D88" s="16"/>
    </row>
    <row r="89" spans="4:4" x14ac:dyDescent="0.25">
      <c r="D89" s="16"/>
    </row>
    <row r="90" spans="4:4" x14ac:dyDescent="0.25">
      <c r="D90" s="16"/>
    </row>
    <row r="92" spans="4:4" x14ac:dyDescent="0.25">
      <c r="D92" s="16"/>
    </row>
    <row r="93" spans="4:4" x14ac:dyDescent="0.25">
      <c r="D93" s="16"/>
    </row>
    <row r="94" spans="4:4" x14ac:dyDescent="0.25">
      <c r="D94" s="16"/>
    </row>
    <row r="96" spans="4:4" x14ac:dyDescent="0.25">
      <c r="D96" s="16"/>
    </row>
    <row r="97" spans="4:4" x14ac:dyDescent="0.25">
      <c r="D97" s="16"/>
    </row>
    <row r="98" spans="4:4" x14ac:dyDescent="0.25">
      <c r="D98" s="16"/>
    </row>
    <row r="100" spans="4:4" x14ac:dyDescent="0.25">
      <c r="D100" s="16"/>
    </row>
    <row r="101" spans="4:4" x14ac:dyDescent="0.25">
      <c r="D101" s="16"/>
    </row>
    <row r="102" spans="4:4" x14ac:dyDescent="0.25">
      <c r="D102" s="16"/>
    </row>
    <row r="104" spans="4:4" x14ac:dyDescent="0.25">
      <c r="D104" s="16"/>
    </row>
    <row r="105" spans="4:4" x14ac:dyDescent="0.25">
      <c r="D105" s="16"/>
    </row>
    <row r="106" spans="4:4" x14ac:dyDescent="0.25">
      <c r="D106" s="16"/>
    </row>
    <row r="108" spans="4:4" x14ac:dyDescent="0.25">
      <c r="D108" s="16"/>
    </row>
    <row r="109" spans="4:4" x14ac:dyDescent="0.25">
      <c r="D109" s="16"/>
    </row>
    <row r="110" spans="4:4" x14ac:dyDescent="0.25">
      <c r="D110" s="16"/>
    </row>
    <row r="112" spans="4:4" x14ac:dyDescent="0.25">
      <c r="D112" s="16"/>
    </row>
    <row r="113" spans="4:4" x14ac:dyDescent="0.25">
      <c r="D113" s="16"/>
    </row>
    <row r="114" spans="4:4" x14ac:dyDescent="0.25">
      <c r="D114" s="16"/>
    </row>
  </sheetData>
  <mergeCells count="22">
    <mergeCell ref="T4:U4"/>
    <mergeCell ref="M37:N37"/>
    <mergeCell ref="O37:P37"/>
    <mergeCell ref="Q37:R37"/>
    <mergeCell ref="O33:R33"/>
    <mergeCell ref="M33:N34"/>
    <mergeCell ref="T5:U5"/>
    <mergeCell ref="M36:N36"/>
    <mergeCell ref="O36:P36"/>
    <mergeCell ref="Q36:R36"/>
    <mergeCell ref="A1:D1"/>
    <mergeCell ref="E1:R1"/>
    <mergeCell ref="S1:S2"/>
    <mergeCell ref="T1:U1"/>
    <mergeCell ref="T3:U3"/>
    <mergeCell ref="A33:D33"/>
    <mergeCell ref="O34:P34"/>
    <mergeCell ref="Q34:R34"/>
    <mergeCell ref="E33:L33"/>
    <mergeCell ref="M35:N35"/>
    <mergeCell ref="O35:P35"/>
    <mergeCell ref="Q35:R35"/>
  </mergeCells>
  <pageMargins left="0.7" right="0.7" top="0.75" bottom="0.75" header="0.3" footer="0.3"/>
  <ignoredErrors>
    <ignoredError sqref="D35:D37 D3:D25 D26:D3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32"/>
  <sheetViews>
    <sheetView topLeftCell="A13" workbookViewId="0">
      <selection activeCell="F33" sqref="F33"/>
    </sheetView>
  </sheetViews>
  <sheetFormatPr defaultColWidth="11.42578125" defaultRowHeight="15" x14ac:dyDescent="0.25"/>
  <cols>
    <col min="1" max="1" width="20.5703125" customWidth="1"/>
    <col min="5" max="5" width="4.7109375" customWidth="1"/>
    <col min="6" max="6" width="5.28515625" customWidth="1"/>
    <col min="7" max="7" width="4.7109375" customWidth="1"/>
    <col min="8" max="8" width="5.28515625" customWidth="1"/>
    <col min="9" max="9" width="4.5703125" customWidth="1"/>
    <col min="10" max="10" width="5.5703125" customWidth="1"/>
    <col min="11" max="11" width="4.5703125" customWidth="1"/>
    <col min="12" max="12" width="5.5703125" customWidth="1"/>
    <col min="13" max="13" width="5" customWidth="1"/>
    <col min="14" max="14" width="5.5703125" customWidth="1"/>
    <col min="15" max="15" width="4.85546875" customWidth="1"/>
    <col min="16" max="16" width="5.5703125" customWidth="1"/>
    <col min="17" max="17" width="4.5703125" customWidth="1"/>
    <col min="18" max="18" width="5.85546875" customWidth="1"/>
    <col min="19" max="19" width="13.7109375" customWidth="1"/>
  </cols>
  <sheetData>
    <row r="1" spans="1:21" ht="18.75" x14ac:dyDescent="0.25">
      <c r="A1" s="63" t="s">
        <v>243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226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  <c r="T2" s="22" t="s">
        <v>9</v>
      </c>
      <c r="U2" s="22" t="s">
        <v>10</v>
      </c>
    </row>
    <row r="3" spans="1:21" x14ac:dyDescent="0.25">
      <c r="A3" s="7" t="s">
        <v>74</v>
      </c>
      <c r="B3" s="2">
        <v>343</v>
      </c>
      <c r="C3" s="2">
        <v>9004</v>
      </c>
      <c r="D3" s="34">
        <f>SUM(E3:R3)</f>
        <v>42</v>
      </c>
      <c r="E3" s="2">
        <v>6</v>
      </c>
      <c r="F3" s="2"/>
      <c r="G3" s="2">
        <v>6</v>
      </c>
      <c r="H3" s="2"/>
      <c r="I3" s="2">
        <v>6</v>
      </c>
      <c r="J3" s="2"/>
      <c r="K3" s="2">
        <v>6</v>
      </c>
      <c r="L3" s="2"/>
      <c r="M3" s="2">
        <v>6</v>
      </c>
      <c r="N3" s="2"/>
      <c r="O3" s="2">
        <v>6</v>
      </c>
      <c r="P3" s="2"/>
      <c r="Q3" s="2">
        <v>6</v>
      </c>
      <c r="R3" s="2"/>
      <c r="S3" s="3">
        <v>46160</v>
      </c>
      <c r="T3" s="2"/>
      <c r="U3" s="2"/>
    </row>
    <row r="4" spans="1:21" x14ac:dyDescent="0.25">
      <c r="A4" s="7" t="s">
        <v>241</v>
      </c>
      <c r="B4" s="2">
        <v>344</v>
      </c>
      <c r="C4" s="2">
        <v>2601</v>
      </c>
      <c r="D4" s="34">
        <f t="shared" ref="D4:D15" si="0">SUM(E4:R4)</f>
        <v>18</v>
      </c>
      <c r="E4" s="2"/>
      <c r="F4" s="2"/>
      <c r="G4" s="2"/>
      <c r="H4" s="2"/>
      <c r="I4" s="2"/>
      <c r="J4" s="2"/>
      <c r="K4" s="2">
        <v>1</v>
      </c>
      <c r="L4" s="2">
        <v>3</v>
      </c>
      <c r="M4" s="2">
        <v>1</v>
      </c>
      <c r="N4" s="2">
        <v>2</v>
      </c>
      <c r="O4" s="2">
        <v>3</v>
      </c>
      <c r="P4" s="2">
        <v>2</v>
      </c>
      <c r="Q4" s="2">
        <v>3</v>
      </c>
      <c r="R4" s="2">
        <v>3</v>
      </c>
      <c r="S4" s="3">
        <v>46160</v>
      </c>
      <c r="T4" s="2"/>
      <c r="U4" s="2"/>
    </row>
    <row r="5" spans="1:21" x14ac:dyDescent="0.25">
      <c r="A5" s="7" t="s">
        <v>241</v>
      </c>
      <c r="B5" s="2">
        <v>345</v>
      </c>
      <c r="C5" s="2">
        <v>2601</v>
      </c>
      <c r="D5" s="34">
        <f t="shared" si="0"/>
        <v>30</v>
      </c>
      <c r="E5" s="2"/>
      <c r="F5" s="2"/>
      <c r="G5" s="2"/>
      <c r="H5" s="2"/>
      <c r="I5" s="2"/>
      <c r="J5" s="2"/>
      <c r="K5" s="2">
        <v>2</v>
      </c>
      <c r="L5" s="2">
        <v>5</v>
      </c>
      <c r="M5" s="2">
        <v>2</v>
      </c>
      <c r="N5" s="2">
        <v>3</v>
      </c>
      <c r="O5" s="2">
        <v>5</v>
      </c>
      <c r="P5" s="2">
        <v>3</v>
      </c>
      <c r="Q5" s="2">
        <v>5</v>
      </c>
      <c r="R5" s="2">
        <v>5</v>
      </c>
      <c r="S5" s="3">
        <v>46160</v>
      </c>
      <c r="T5" s="2"/>
      <c r="U5" s="2"/>
    </row>
    <row r="6" spans="1:21" x14ac:dyDescent="0.25">
      <c r="A6" s="7" t="s">
        <v>241</v>
      </c>
      <c r="B6" s="2">
        <v>346</v>
      </c>
      <c r="C6" s="2">
        <v>9213</v>
      </c>
      <c r="D6" s="34">
        <f t="shared" si="0"/>
        <v>18</v>
      </c>
      <c r="E6" s="2"/>
      <c r="F6" s="2"/>
      <c r="G6" s="2"/>
      <c r="H6" s="2"/>
      <c r="I6" s="2"/>
      <c r="J6" s="2"/>
      <c r="K6" s="2">
        <v>1</v>
      </c>
      <c r="L6" s="2">
        <v>3</v>
      </c>
      <c r="M6" s="2">
        <v>1</v>
      </c>
      <c r="N6" s="2">
        <v>2</v>
      </c>
      <c r="O6" s="2">
        <v>3</v>
      </c>
      <c r="P6" s="2">
        <v>2</v>
      </c>
      <c r="Q6" s="2">
        <v>3</v>
      </c>
      <c r="R6" s="2">
        <v>3</v>
      </c>
      <c r="S6" s="3">
        <v>46160</v>
      </c>
      <c r="T6" s="2"/>
      <c r="U6" s="2"/>
    </row>
    <row r="7" spans="1:21" x14ac:dyDescent="0.25">
      <c r="A7" s="7" t="s">
        <v>241</v>
      </c>
      <c r="B7" s="2">
        <v>347</v>
      </c>
      <c r="C7" s="2">
        <v>9213</v>
      </c>
      <c r="D7" s="34">
        <f t="shared" si="0"/>
        <v>30</v>
      </c>
      <c r="E7" s="2"/>
      <c r="F7" s="2"/>
      <c r="G7" s="2"/>
      <c r="H7" s="2"/>
      <c r="I7" s="2"/>
      <c r="J7" s="2"/>
      <c r="K7" s="2">
        <v>2</v>
      </c>
      <c r="L7" s="2">
        <v>5</v>
      </c>
      <c r="M7" s="2">
        <v>2</v>
      </c>
      <c r="N7" s="2">
        <v>3</v>
      </c>
      <c r="O7" s="2">
        <v>5</v>
      </c>
      <c r="P7" s="2">
        <v>3</v>
      </c>
      <c r="Q7" s="2">
        <v>5</v>
      </c>
      <c r="R7" s="2">
        <v>5</v>
      </c>
      <c r="S7" s="3">
        <v>46160</v>
      </c>
      <c r="T7" s="2"/>
      <c r="U7" s="2"/>
    </row>
    <row r="8" spans="1:21" x14ac:dyDescent="0.25">
      <c r="A8" s="7" t="s">
        <v>241</v>
      </c>
      <c r="B8" s="2">
        <v>348</v>
      </c>
      <c r="C8" s="2">
        <v>9242</v>
      </c>
      <c r="D8" s="34">
        <f t="shared" si="0"/>
        <v>18</v>
      </c>
      <c r="E8" s="2"/>
      <c r="F8" s="2"/>
      <c r="G8" s="2"/>
      <c r="H8" s="2"/>
      <c r="I8" s="2"/>
      <c r="J8" s="2"/>
      <c r="K8" s="2">
        <v>1</v>
      </c>
      <c r="L8" s="2">
        <v>3</v>
      </c>
      <c r="M8" s="2">
        <v>1</v>
      </c>
      <c r="N8" s="2">
        <v>2</v>
      </c>
      <c r="O8" s="2">
        <v>3</v>
      </c>
      <c r="P8" s="2">
        <v>2</v>
      </c>
      <c r="Q8" s="2">
        <v>3</v>
      </c>
      <c r="R8" s="2">
        <v>3</v>
      </c>
      <c r="S8" s="3">
        <v>46160</v>
      </c>
      <c r="T8" s="2"/>
      <c r="U8" s="2"/>
    </row>
    <row r="9" spans="1:21" x14ac:dyDescent="0.25">
      <c r="A9" s="7" t="s">
        <v>241</v>
      </c>
      <c r="B9" s="2">
        <v>349</v>
      </c>
      <c r="C9" s="2">
        <v>9242</v>
      </c>
      <c r="D9" s="34">
        <f t="shared" si="0"/>
        <v>30</v>
      </c>
      <c r="E9" s="2"/>
      <c r="F9" s="2"/>
      <c r="G9" s="2"/>
      <c r="H9" s="2"/>
      <c r="I9" s="2"/>
      <c r="J9" s="2"/>
      <c r="K9" s="2">
        <v>2</v>
      </c>
      <c r="L9" s="2">
        <v>5</v>
      </c>
      <c r="M9" s="2">
        <v>2</v>
      </c>
      <c r="N9" s="2">
        <v>3</v>
      </c>
      <c r="O9" s="2">
        <v>5</v>
      </c>
      <c r="P9" s="2">
        <v>3</v>
      </c>
      <c r="Q9" s="2">
        <v>5</v>
      </c>
      <c r="R9" s="2">
        <v>5</v>
      </c>
      <c r="S9" s="3">
        <v>46160</v>
      </c>
      <c r="T9" s="2"/>
      <c r="U9" s="2"/>
    </row>
    <row r="10" spans="1:21" x14ac:dyDescent="0.25">
      <c r="A10" s="7" t="s">
        <v>241</v>
      </c>
      <c r="B10" s="2">
        <v>350</v>
      </c>
      <c r="C10" s="2">
        <v>9270</v>
      </c>
      <c r="D10" s="34">
        <f t="shared" si="0"/>
        <v>18</v>
      </c>
      <c r="E10" s="2"/>
      <c r="F10" s="2"/>
      <c r="G10" s="2"/>
      <c r="H10" s="2"/>
      <c r="I10" s="2"/>
      <c r="J10" s="2"/>
      <c r="K10" s="2">
        <v>1</v>
      </c>
      <c r="L10" s="2">
        <v>3</v>
      </c>
      <c r="M10" s="2">
        <v>1</v>
      </c>
      <c r="N10" s="2">
        <v>2</v>
      </c>
      <c r="O10" s="2">
        <v>3</v>
      </c>
      <c r="P10" s="2">
        <v>2</v>
      </c>
      <c r="Q10" s="2">
        <v>3</v>
      </c>
      <c r="R10" s="2">
        <v>3</v>
      </c>
      <c r="S10" s="3">
        <v>46160</v>
      </c>
      <c r="T10" s="2"/>
      <c r="U10" s="2"/>
    </row>
    <row r="11" spans="1:21" x14ac:dyDescent="0.25">
      <c r="A11" s="7" t="s">
        <v>241</v>
      </c>
      <c r="B11" s="2">
        <v>351</v>
      </c>
      <c r="C11" s="2">
        <v>9270</v>
      </c>
      <c r="D11" s="34">
        <f t="shared" si="0"/>
        <v>30</v>
      </c>
      <c r="E11" s="2"/>
      <c r="F11" s="2"/>
      <c r="G11" s="2"/>
      <c r="H11" s="2"/>
      <c r="I11" s="2"/>
      <c r="J11" s="2"/>
      <c r="K11" s="2">
        <v>2</v>
      </c>
      <c r="L11" s="2">
        <v>5</v>
      </c>
      <c r="M11" s="2">
        <v>2</v>
      </c>
      <c r="N11" s="2">
        <v>3</v>
      </c>
      <c r="O11" s="2">
        <v>5</v>
      </c>
      <c r="P11" s="2">
        <v>3</v>
      </c>
      <c r="Q11" s="2">
        <v>5</v>
      </c>
      <c r="R11" s="2">
        <v>5</v>
      </c>
      <c r="S11" s="3">
        <v>46160</v>
      </c>
      <c r="T11" s="2"/>
      <c r="U11" s="2"/>
    </row>
    <row r="12" spans="1:21" x14ac:dyDescent="0.25">
      <c r="A12" s="1" t="s">
        <v>68</v>
      </c>
      <c r="B12" s="2">
        <v>352</v>
      </c>
      <c r="C12" s="2">
        <v>9263</v>
      </c>
      <c r="D12" s="34">
        <f t="shared" si="0"/>
        <v>48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2</v>
      </c>
      <c r="M12" s="2">
        <v>4</v>
      </c>
      <c r="N12" s="2">
        <v>2</v>
      </c>
      <c r="O12" s="2">
        <v>4</v>
      </c>
      <c r="P12" s="2">
        <v>2</v>
      </c>
      <c r="Q12" s="2">
        <v>4</v>
      </c>
      <c r="R12" s="2">
        <v>2</v>
      </c>
      <c r="S12" s="3">
        <v>46160</v>
      </c>
      <c r="T12" s="2"/>
      <c r="U12" s="2"/>
    </row>
    <row r="13" spans="1:21" x14ac:dyDescent="0.25">
      <c r="A13" s="1" t="s">
        <v>68</v>
      </c>
      <c r="B13" s="2">
        <v>353</v>
      </c>
      <c r="C13" s="2">
        <v>9201</v>
      </c>
      <c r="D13" s="34">
        <f t="shared" si="0"/>
        <v>48</v>
      </c>
      <c r="E13" s="2">
        <v>4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L13" s="2">
        <v>2</v>
      </c>
      <c r="M13" s="2">
        <v>4</v>
      </c>
      <c r="N13" s="2">
        <v>2</v>
      </c>
      <c r="O13" s="2">
        <v>4</v>
      </c>
      <c r="P13" s="2">
        <v>2</v>
      </c>
      <c r="Q13" s="2">
        <v>4</v>
      </c>
      <c r="R13" s="2">
        <v>2</v>
      </c>
      <c r="S13" s="3">
        <v>46160</v>
      </c>
      <c r="T13" s="2"/>
      <c r="U13" s="2"/>
    </row>
    <row r="14" spans="1:21" x14ac:dyDescent="0.25">
      <c r="A14" s="1" t="s">
        <v>68</v>
      </c>
      <c r="B14" s="2">
        <v>354</v>
      </c>
      <c r="C14" s="2">
        <v>9201</v>
      </c>
      <c r="D14" s="34">
        <f t="shared" si="0"/>
        <v>48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4</v>
      </c>
      <c r="K14" s="2">
        <v>4</v>
      </c>
      <c r="L14" s="2">
        <v>2</v>
      </c>
      <c r="M14" s="2">
        <v>4</v>
      </c>
      <c r="N14" s="2">
        <v>2</v>
      </c>
      <c r="O14" s="2">
        <v>4</v>
      </c>
      <c r="P14" s="2">
        <v>2</v>
      </c>
      <c r="Q14" s="2">
        <v>4</v>
      </c>
      <c r="R14" s="2">
        <v>2</v>
      </c>
      <c r="S14" s="3">
        <v>46160</v>
      </c>
      <c r="T14" s="2"/>
      <c r="U14" s="2"/>
    </row>
    <row r="15" spans="1:21" x14ac:dyDescent="0.25">
      <c r="A15" s="1" t="s">
        <v>68</v>
      </c>
      <c r="B15" s="2">
        <v>355</v>
      </c>
      <c r="C15" s="2">
        <v>9208</v>
      </c>
      <c r="D15" s="34">
        <f t="shared" si="0"/>
        <v>48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2</v>
      </c>
      <c r="M15" s="2">
        <v>4</v>
      </c>
      <c r="N15" s="2">
        <v>2</v>
      </c>
      <c r="O15" s="2">
        <v>4</v>
      </c>
      <c r="P15" s="2">
        <v>2</v>
      </c>
      <c r="Q15" s="2">
        <v>4</v>
      </c>
      <c r="R15" s="2">
        <v>2</v>
      </c>
      <c r="S15" s="3">
        <v>46160</v>
      </c>
      <c r="T15" s="2"/>
      <c r="U15" s="2"/>
    </row>
    <row r="16" spans="1:21" x14ac:dyDescent="0.25">
      <c r="A16" s="7" t="s">
        <v>28</v>
      </c>
      <c r="B16" s="2">
        <v>362</v>
      </c>
      <c r="C16" s="2">
        <v>9270</v>
      </c>
      <c r="D16" s="34">
        <f t="shared" ref="D16:D22" si="1">SUM(E16:R16)</f>
        <v>36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  <c r="K16" s="2">
        <v>4</v>
      </c>
      <c r="L16" s="2">
        <v>2</v>
      </c>
      <c r="M16" s="2">
        <v>4</v>
      </c>
      <c r="N16" s="2">
        <v>2</v>
      </c>
      <c r="O16" s="2">
        <v>4</v>
      </c>
      <c r="P16" s="2">
        <v>2</v>
      </c>
      <c r="Q16" s="2">
        <v>4</v>
      </c>
      <c r="R16" s="2">
        <v>2</v>
      </c>
      <c r="S16" s="3">
        <v>46160</v>
      </c>
      <c r="T16" s="2"/>
      <c r="U16" s="2"/>
    </row>
    <row r="17" spans="1:21" x14ac:dyDescent="0.25">
      <c r="A17" s="7" t="s">
        <v>28</v>
      </c>
      <c r="B17" s="2">
        <v>363</v>
      </c>
      <c r="C17" s="2">
        <v>9272</v>
      </c>
      <c r="D17" s="34">
        <f t="shared" si="1"/>
        <v>36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4</v>
      </c>
      <c r="L17" s="2">
        <v>2</v>
      </c>
      <c r="M17" s="2">
        <v>4</v>
      </c>
      <c r="N17" s="2">
        <v>2</v>
      </c>
      <c r="O17" s="2">
        <v>4</v>
      </c>
      <c r="P17" s="2">
        <v>2</v>
      </c>
      <c r="Q17" s="2">
        <v>4</v>
      </c>
      <c r="R17" s="2">
        <v>2</v>
      </c>
      <c r="S17" s="3">
        <v>46160</v>
      </c>
      <c r="T17" s="2" t="s">
        <v>25</v>
      </c>
      <c r="U17" s="2" t="s">
        <v>25</v>
      </c>
    </row>
    <row r="18" spans="1:21" x14ac:dyDescent="0.25">
      <c r="A18" s="7" t="s">
        <v>28</v>
      </c>
      <c r="B18" s="2">
        <v>364</v>
      </c>
      <c r="C18" s="2">
        <v>9273</v>
      </c>
      <c r="D18" s="34">
        <f t="shared" si="1"/>
        <v>36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4</v>
      </c>
      <c r="L18" s="2">
        <v>2</v>
      </c>
      <c r="M18" s="2">
        <v>4</v>
      </c>
      <c r="N18" s="2">
        <v>2</v>
      </c>
      <c r="O18" s="2">
        <v>4</v>
      </c>
      <c r="P18" s="2">
        <v>2</v>
      </c>
      <c r="Q18" s="2">
        <v>4</v>
      </c>
      <c r="R18" s="2">
        <v>2</v>
      </c>
      <c r="S18" s="3">
        <v>46160</v>
      </c>
      <c r="T18" s="2" t="s">
        <v>25</v>
      </c>
      <c r="U18" s="2" t="s">
        <v>25</v>
      </c>
    </row>
    <row r="19" spans="1:21" x14ac:dyDescent="0.25">
      <c r="A19" s="7" t="s">
        <v>28</v>
      </c>
      <c r="B19" s="2">
        <v>365</v>
      </c>
      <c r="C19" s="2">
        <v>9278</v>
      </c>
      <c r="D19" s="34">
        <f t="shared" si="1"/>
        <v>36</v>
      </c>
      <c r="E19" s="2">
        <v>2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>
        <v>4</v>
      </c>
      <c r="L19" s="2">
        <v>2</v>
      </c>
      <c r="M19" s="2">
        <v>4</v>
      </c>
      <c r="N19" s="2">
        <v>2</v>
      </c>
      <c r="O19" s="2">
        <v>4</v>
      </c>
      <c r="P19" s="2">
        <v>2</v>
      </c>
      <c r="Q19" s="2">
        <v>4</v>
      </c>
      <c r="R19" s="2">
        <v>2</v>
      </c>
      <c r="S19" s="3">
        <v>46160</v>
      </c>
      <c r="T19" s="2" t="s">
        <v>25</v>
      </c>
      <c r="U19" s="2" t="s">
        <v>25</v>
      </c>
    </row>
    <row r="20" spans="1:21" x14ac:dyDescent="0.25">
      <c r="A20" s="7" t="s">
        <v>28</v>
      </c>
      <c r="B20" s="2">
        <v>366</v>
      </c>
      <c r="C20" s="2">
        <v>9208</v>
      </c>
      <c r="D20" s="34">
        <f t="shared" si="1"/>
        <v>36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4</v>
      </c>
      <c r="L20" s="2">
        <v>2</v>
      </c>
      <c r="M20" s="2">
        <v>4</v>
      </c>
      <c r="N20" s="2">
        <v>2</v>
      </c>
      <c r="O20" s="2">
        <v>4</v>
      </c>
      <c r="P20" s="2">
        <v>2</v>
      </c>
      <c r="Q20" s="2">
        <v>4</v>
      </c>
      <c r="R20" s="2">
        <v>2</v>
      </c>
      <c r="S20" s="3">
        <v>46160</v>
      </c>
      <c r="T20" s="2" t="s">
        <v>53</v>
      </c>
      <c r="U20" s="2" t="s">
        <v>53</v>
      </c>
    </row>
    <row r="21" spans="1:21" x14ac:dyDescent="0.25">
      <c r="A21" s="7" t="s">
        <v>28</v>
      </c>
      <c r="B21" s="2">
        <v>367</v>
      </c>
      <c r="C21" s="2">
        <v>9213</v>
      </c>
      <c r="D21" s="34">
        <f t="shared" si="1"/>
        <v>36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4</v>
      </c>
      <c r="L21" s="2">
        <v>2</v>
      </c>
      <c r="M21" s="2">
        <v>4</v>
      </c>
      <c r="N21" s="2">
        <v>2</v>
      </c>
      <c r="O21" s="2">
        <v>4</v>
      </c>
      <c r="P21" s="2">
        <v>2</v>
      </c>
      <c r="Q21" s="2">
        <v>4</v>
      </c>
      <c r="R21" s="2">
        <v>2</v>
      </c>
      <c r="S21" s="3">
        <v>46160</v>
      </c>
      <c r="T21" s="2"/>
      <c r="U21" s="2"/>
    </row>
    <row r="22" spans="1:21" x14ac:dyDescent="0.25">
      <c r="A22" s="7" t="s">
        <v>28</v>
      </c>
      <c r="B22" s="2">
        <v>368</v>
      </c>
      <c r="C22" s="2">
        <v>9219</v>
      </c>
      <c r="D22" s="34">
        <f t="shared" si="1"/>
        <v>36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4</v>
      </c>
      <c r="L22" s="2">
        <v>2</v>
      </c>
      <c r="M22" s="2">
        <v>4</v>
      </c>
      <c r="N22" s="2">
        <v>2</v>
      </c>
      <c r="O22" s="2">
        <v>4</v>
      </c>
      <c r="P22" s="2">
        <v>2</v>
      </c>
      <c r="Q22" s="2">
        <v>4</v>
      </c>
      <c r="R22" s="2">
        <v>2</v>
      </c>
      <c r="S22" s="3">
        <v>46160</v>
      </c>
      <c r="T22" s="2"/>
      <c r="U22" s="2"/>
    </row>
    <row r="23" spans="1:21" x14ac:dyDescent="0.25">
      <c r="D23" s="50">
        <f>SUM(D3:D22)</f>
        <v>678</v>
      </c>
    </row>
    <row r="24" spans="1:21" ht="18.75" customHeight="1" x14ac:dyDescent="0.25">
      <c r="A24" s="63" t="s">
        <v>235</v>
      </c>
      <c r="B24" s="63"/>
      <c r="C24" s="63"/>
      <c r="D24" s="63"/>
      <c r="E24" s="100" t="s">
        <v>4</v>
      </c>
      <c r="F24" s="101"/>
      <c r="G24" s="101"/>
      <c r="H24" s="101"/>
      <c r="I24" s="101"/>
      <c r="J24" s="101"/>
      <c r="K24" s="101"/>
      <c r="L24" s="102"/>
      <c r="M24" s="93" t="s">
        <v>233</v>
      </c>
      <c r="N24" s="94"/>
      <c r="O24" s="98" t="s">
        <v>6</v>
      </c>
      <c r="P24" s="98"/>
      <c r="Q24" s="98"/>
      <c r="R24" s="98"/>
    </row>
    <row r="25" spans="1:21" x14ac:dyDescent="0.25">
      <c r="A25" s="6" t="s">
        <v>0</v>
      </c>
      <c r="B25" s="6" t="s">
        <v>1</v>
      </c>
      <c r="C25" s="6" t="s">
        <v>3</v>
      </c>
      <c r="D25" s="12" t="s">
        <v>2</v>
      </c>
      <c r="E25" s="6">
        <v>22</v>
      </c>
      <c r="F25" s="6">
        <v>22.5</v>
      </c>
      <c r="G25" s="6">
        <v>23</v>
      </c>
      <c r="H25" s="6">
        <v>23.5</v>
      </c>
      <c r="I25" s="6">
        <v>24</v>
      </c>
      <c r="J25" s="6">
        <v>24.5</v>
      </c>
      <c r="K25" s="6">
        <v>25</v>
      </c>
      <c r="L25" s="6">
        <v>25.5</v>
      </c>
      <c r="M25" s="104"/>
      <c r="N25" s="105"/>
      <c r="O25" s="98" t="s">
        <v>9</v>
      </c>
      <c r="P25" s="98"/>
      <c r="Q25" s="98" t="s">
        <v>10</v>
      </c>
      <c r="R25" s="98"/>
    </row>
    <row r="26" spans="1:21" x14ac:dyDescent="0.25">
      <c r="A26" s="1" t="s">
        <v>68</v>
      </c>
      <c r="B26" s="2">
        <v>356</v>
      </c>
      <c r="C26" s="2">
        <v>2401</v>
      </c>
      <c r="D26" s="34">
        <f t="shared" ref="D26:D28" si="2">SUM(E26:L26)</f>
        <v>12</v>
      </c>
      <c r="E26" s="1">
        <v>1</v>
      </c>
      <c r="F26" s="1">
        <v>1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/>
      <c r="M26" s="91">
        <v>46160</v>
      </c>
      <c r="N26" s="92"/>
      <c r="O26" s="103"/>
      <c r="P26" s="92"/>
      <c r="Q26" s="103"/>
      <c r="R26" s="92"/>
    </row>
    <row r="27" spans="1:21" x14ac:dyDescent="0.25">
      <c r="A27" s="1" t="s">
        <v>68</v>
      </c>
      <c r="B27" s="2">
        <v>357</v>
      </c>
      <c r="C27" s="2">
        <v>2401</v>
      </c>
      <c r="D27" s="34">
        <f t="shared" si="2"/>
        <v>12</v>
      </c>
      <c r="E27" s="1">
        <v>1</v>
      </c>
      <c r="F27" s="1">
        <v>1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/>
      <c r="M27" s="91">
        <v>46160</v>
      </c>
      <c r="N27" s="92"/>
      <c r="O27" s="103"/>
      <c r="P27" s="92"/>
      <c r="Q27" s="103"/>
      <c r="R27" s="92"/>
    </row>
    <row r="28" spans="1:21" x14ac:dyDescent="0.25">
      <c r="A28" s="1" t="s">
        <v>68</v>
      </c>
      <c r="B28" s="2">
        <v>358</v>
      </c>
      <c r="C28" s="2">
        <v>2401</v>
      </c>
      <c r="D28" s="34">
        <f t="shared" si="2"/>
        <v>12</v>
      </c>
      <c r="E28" s="1">
        <v>1</v>
      </c>
      <c r="F28" s="1">
        <v>1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/>
      <c r="M28" s="91">
        <v>46160</v>
      </c>
      <c r="N28" s="92"/>
      <c r="O28" s="103"/>
      <c r="P28" s="92"/>
      <c r="Q28" s="103"/>
      <c r="R28" s="92"/>
    </row>
    <row r="29" spans="1:21" x14ac:dyDescent="0.25">
      <c r="A29" s="1" t="s">
        <v>68</v>
      </c>
      <c r="B29" s="2">
        <v>359</v>
      </c>
      <c r="C29" s="2">
        <v>9208</v>
      </c>
      <c r="D29" s="34">
        <f>SUM(E29:L29)</f>
        <v>12</v>
      </c>
      <c r="E29" s="1">
        <v>1</v>
      </c>
      <c r="F29" s="1">
        <v>1</v>
      </c>
      <c r="G29" s="1">
        <v>2</v>
      </c>
      <c r="H29" s="1">
        <v>2</v>
      </c>
      <c r="I29" s="1">
        <v>2</v>
      </c>
      <c r="J29" s="1">
        <v>2</v>
      </c>
      <c r="K29" s="1">
        <v>2</v>
      </c>
      <c r="L29" s="1"/>
      <c r="M29" s="91">
        <v>46160</v>
      </c>
      <c r="N29" s="92"/>
      <c r="O29" s="103"/>
      <c r="P29" s="92"/>
      <c r="Q29" s="103"/>
      <c r="R29" s="92"/>
    </row>
    <row r="30" spans="1:21" x14ac:dyDescent="0.25">
      <c r="A30" s="1" t="s">
        <v>242</v>
      </c>
      <c r="B30" s="2">
        <v>361</v>
      </c>
      <c r="C30" s="2">
        <v>2471</v>
      </c>
      <c r="D30" s="34">
        <f>SUM(E30:L30)</f>
        <v>12</v>
      </c>
      <c r="E30" s="1">
        <v>1</v>
      </c>
      <c r="F30" s="1">
        <v>1</v>
      </c>
      <c r="G30" s="1">
        <v>2</v>
      </c>
      <c r="H30" s="1">
        <v>2</v>
      </c>
      <c r="I30" s="1">
        <v>2</v>
      </c>
      <c r="J30" s="1">
        <v>2</v>
      </c>
      <c r="K30" s="1">
        <v>1</v>
      </c>
      <c r="L30" s="1">
        <v>1</v>
      </c>
      <c r="M30" s="91">
        <v>46161</v>
      </c>
      <c r="N30" s="92"/>
      <c r="O30" s="103"/>
      <c r="P30" s="92"/>
      <c r="Q30" s="103"/>
      <c r="R30" s="92"/>
    </row>
    <row r="31" spans="1:21" x14ac:dyDescent="0.25">
      <c r="D31" s="34">
        <f>SUM(D26:D30)</f>
        <v>60</v>
      </c>
    </row>
    <row r="32" spans="1:21" x14ac:dyDescent="0.25">
      <c r="C32" s="51">
        <f>D23+D31</f>
        <v>738</v>
      </c>
    </row>
  </sheetData>
  <mergeCells count="25">
    <mergeCell ref="M30:N30"/>
    <mergeCell ref="O30:P30"/>
    <mergeCell ref="Q30:R30"/>
    <mergeCell ref="A1:D1"/>
    <mergeCell ref="E1:R1"/>
    <mergeCell ref="O29:P29"/>
    <mergeCell ref="Q29:R29"/>
    <mergeCell ref="M26:N26"/>
    <mergeCell ref="M27:N27"/>
    <mergeCell ref="M28:N28"/>
    <mergeCell ref="M29:N29"/>
    <mergeCell ref="O26:P26"/>
    <mergeCell ref="Q26:R26"/>
    <mergeCell ref="O27:P27"/>
    <mergeCell ref="Q27:R27"/>
    <mergeCell ref="O28:P28"/>
    <mergeCell ref="Q28:R28"/>
    <mergeCell ref="S1:S2"/>
    <mergeCell ref="T1:U1"/>
    <mergeCell ref="A24:D24"/>
    <mergeCell ref="E24:L24"/>
    <mergeCell ref="M24:N25"/>
    <mergeCell ref="O24:R24"/>
    <mergeCell ref="O25:P25"/>
    <mergeCell ref="Q25:R25"/>
  </mergeCells>
  <pageMargins left="0.7" right="0.7" top="0.75" bottom="0.75" header="0.3" footer="0.3"/>
  <pageSetup paperSize="256" orientation="portrait" horizontalDpi="203" verticalDpi="203" r:id="rId1"/>
  <ignoredErrors>
    <ignoredError sqref="D3 D4:D15 D16:D22 D26:D30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38"/>
  <sheetViews>
    <sheetView topLeftCell="A25" workbookViewId="0">
      <selection activeCell="C38" sqref="C38"/>
    </sheetView>
  </sheetViews>
  <sheetFormatPr defaultColWidth="11.42578125" defaultRowHeight="15" x14ac:dyDescent="0.25"/>
  <cols>
    <col min="1" max="1" width="25.42578125" customWidth="1"/>
    <col min="4" max="4" width="10.42578125" customWidth="1"/>
    <col min="5" max="5" width="5.28515625" customWidth="1"/>
    <col min="6" max="6" width="5.42578125" customWidth="1"/>
    <col min="7" max="7" width="5" customWidth="1"/>
    <col min="8" max="8" width="5.7109375" customWidth="1"/>
    <col min="9" max="9" width="4.85546875" customWidth="1"/>
    <col min="10" max="10" width="5.42578125" customWidth="1"/>
    <col min="11" max="11" width="5.140625" customWidth="1"/>
    <col min="12" max="12" width="5.7109375" customWidth="1"/>
    <col min="13" max="13" width="4.85546875" customWidth="1"/>
    <col min="14" max="14" width="5.7109375" customWidth="1"/>
    <col min="15" max="15" width="6" customWidth="1"/>
    <col min="16" max="16" width="5.85546875" customWidth="1"/>
    <col min="17" max="17" width="6.28515625" customWidth="1"/>
    <col min="18" max="18" width="5.5703125" customWidth="1"/>
    <col min="19" max="19" width="14.42578125" customWidth="1"/>
  </cols>
  <sheetData>
    <row r="1" spans="1:21" ht="18.75" x14ac:dyDescent="0.25">
      <c r="A1" s="63" t="s">
        <v>250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226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  <c r="T2" s="22" t="s">
        <v>9</v>
      </c>
      <c r="U2" s="22" t="s">
        <v>10</v>
      </c>
    </row>
    <row r="3" spans="1:21" x14ac:dyDescent="0.25">
      <c r="A3" s="7" t="s">
        <v>244</v>
      </c>
      <c r="B3" s="2">
        <v>374</v>
      </c>
      <c r="C3" s="2">
        <v>9218</v>
      </c>
      <c r="D3" s="34">
        <f>SUM(E3:R3)</f>
        <v>16</v>
      </c>
      <c r="E3" s="2"/>
      <c r="F3" s="2"/>
      <c r="G3" s="2"/>
      <c r="H3" s="2"/>
      <c r="I3" s="2"/>
      <c r="J3" s="2"/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2</v>
      </c>
      <c r="R3" s="2">
        <v>2</v>
      </c>
      <c r="S3" s="3">
        <v>46167</v>
      </c>
      <c r="T3" s="2"/>
      <c r="U3" s="2"/>
    </row>
    <row r="4" spans="1:21" x14ac:dyDescent="0.25">
      <c r="A4" s="7" t="s">
        <v>244</v>
      </c>
      <c r="B4" s="2">
        <v>375</v>
      </c>
      <c r="C4" s="2">
        <v>9240</v>
      </c>
      <c r="D4" s="34">
        <f t="shared" ref="D4:D14" si="0">SUM(E4:R4)</f>
        <v>16</v>
      </c>
      <c r="E4" s="2"/>
      <c r="F4" s="2"/>
      <c r="G4" s="2"/>
      <c r="H4" s="2"/>
      <c r="I4" s="2"/>
      <c r="J4" s="2"/>
      <c r="K4" s="2">
        <v>2</v>
      </c>
      <c r="L4" s="2">
        <v>2</v>
      </c>
      <c r="M4" s="2">
        <v>2</v>
      </c>
      <c r="N4" s="2">
        <v>2</v>
      </c>
      <c r="O4" s="2">
        <v>2</v>
      </c>
      <c r="P4" s="2">
        <v>2</v>
      </c>
      <c r="Q4" s="2">
        <v>2</v>
      </c>
      <c r="R4" s="2">
        <v>2</v>
      </c>
      <c r="S4" s="3">
        <v>46167</v>
      </c>
      <c r="T4" s="2"/>
      <c r="U4" s="2"/>
    </row>
    <row r="5" spans="1:21" x14ac:dyDescent="0.25">
      <c r="A5" s="7" t="s">
        <v>245</v>
      </c>
      <c r="B5" s="2">
        <v>377</v>
      </c>
      <c r="C5" s="2">
        <v>9242</v>
      </c>
      <c r="D5" s="34">
        <f t="shared" si="0"/>
        <v>28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3">
        <v>46167</v>
      </c>
      <c r="T5" s="2"/>
      <c r="U5" s="2"/>
    </row>
    <row r="6" spans="1:21" x14ac:dyDescent="0.25">
      <c r="A6" s="7" t="s">
        <v>245</v>
      </c>
      <c r="B6" s="2">
        <v>378</v>
      </c>
      <c r="C6" s="2">
        <v>9218</v>
      </c>
      <c r="D6" s="34">
        <f t="shared" si="0"/>
        <v>28</v>
      </c>
      <c r="E6" s="2">
        <v>2</v>
      </c>
      <c r="F6" s="2">
        <v>2</v>
      </c>
      <c r="G6" s="2">
        <v>2</v>
      </c>
      <c r="H6" s="2">
        <v>2</v>
      </c>
      <c r="I6" s="2">
        <v>2</v>
      </c>
      <c r="J6" s="2">
        <v>2</v>
      </c>
      <c r="K6" s="2">
        <v>2</v>
      </c>
      <c r="L6" s="2">
        <v>2</v>
      </c>
      <c r="M6" s="2">
        <v>2</v>
      </c>
      <c r="N6" s="2">
        <v>2</v>
      </c>
      <c r="O6" s="2">
        <v>2</v>
      </c>
      <c r="P6" s="2">
        <v>2</v>
      </c>
      <c r="Q6" s="2">
        <v>2</v>
      </c>
      <c r="R6" s="2">
        <v>2</v>
      </c>
      <c r="S6" s="3">
        <v>46167</v>
      </c>
      <c r="T6" s="2"/>
      <c r="U6" s="2"/>
    </row>
    <row r="7" spans="1:21" x14ac:dyDescent="0.25">
      <c r="A7" s="7" t="s">
        <v>245</v>
      </c>
      <c r="B7" s="2">
        <v>379</v>
      </c>
      <c r="C7" s="2">
        <v>9237</v>
      </c>
      <c r="D7" s="34">
        <f t="shared" si="0"/>
        <v>28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s="2">
        <v>2</v>
      </c>
      <c r="M7" s="2">
        <v>2</v>
      </c>
      <c r="N7" s="2">
        <v>2</v>
      </c>
      <c r="O7" s="2">
        <v>2</v>
      </c>
      <c r="P7" s="2">
        <v>2</v>
      </c>
      <c r="Q7" s="2">
        <v>2</v>
      </c>
      <c r="R7" s="2">
        <v>2</v>
      </c>
      <c r="S7" s="3">
        <v>46167</v>
      </c>
      <c r="T7" s="2"/>
      <c r="U7" s="2"/>
    </row>
    <row r="8" spans="1:21" x14ac:dyDescent="0.25">
      <c r="A8" s="7" t="s">
        <v>245</v>
      </c>
      <c r="B8" s="2">
        <v>380</v>
      </c>
      <c r="C8" s="2">
        <v>9240</v>
      </c>
      <c r="D8" s="34">
        <f t="shared" si="0"/>
        <v>28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2</v>
      </c>
      <c r="K8" s="2">
        <v>2</v>
      </c>
      <c r="L8" s="2">
        <v>2</v>
      </c>
      <c r="M8" s="2">
        <v>2</v>
      </c>
      <c r="N8" s="2">
        <v>2</v>
      </c>
      <c r="O8" s="2">
        <v>2</v>
      </c>
      <c r="P8" s="2">
        <v>2</v>
      </c>
      <c r="Q8" s="2">
        <v>2</v>
      </c>
      <c r="R8" s="2">
        <v>2</v>
      </c>
      <c r="S8" s="3">
        <v>46167</v>
      </c>
      <c r="T8" s="2"/>
      <c r="U8" s="2"/>
    </row>
    <row r="9" spans="1:21" x14ac:dyDescent="0.25">
      <c r="A9" s="7" t="s">
        <v>33</v>
      </c>
      <c r="B9" s="2">
        <v>383</v>
      </c>
      <c r="C9" s="2">
        <v>9219</v>
      </c>
      <c r="D9" s="34">
        <f t="shared" si="0"/>
        <v>60</v>
      </c>
      <c r="E9" s="2">
        <v>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8</v>
      </c>
      <c r="L9" s="2">
        <v>4</v>
      </c>
      <c r="M9" s="2">
        <v>8</v>
      </c>
      <c r="N9" s="2">
        <v>4</v>
      </c>
      <c r="O9" s="2">
        <v>8</v>
      </c>
      <c r="P9" s="2">
        <v>4</v>
      </c>
      <c r="Q9" s="2">
        <v>8</v>
      </c>
      <c r="R9" s="2">
        <v>4</v>
      </c>
      <c r="S9" s="3">
        <v>46167</v>
      </c>
      <c r="T9" s="2"/>
      <c r="U9" s="2"/>
    </row>
    <row r="10" spans="1:21" x14ac:dyDescent="0.25">
      <c r="A10" s="7" t="s">
        <v>33</v>
      </c>
      <c r="B10" s="2">
        <v>384</v>
      </c>
      <c r="C10" s="2">
        <v>9245</v>
      </c>
      <c r="D10" s="34">
        <f t="shared" si="0"/>
        <v>60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8</v>
      </c>
      <c r="L10" s="2">
        <v>4</v>
      </c>
      <c r="M10" s="2">
        <v>8</v>
      </c>
      <c r="N10" s="2">
        <v>4</v>
      </c>
      <c r="O10" s="2">
        <v>8</v>
      </c>
      <c r="P10" s="2">
        <v>4</v>
      </c>
      <c r="Q10" s="2">
        <v>8</v>
      </c>
      <c r="R10" s="2">
        <v>4</v>
      </c>
      <c r="S10" s="3">
        <v>46167</v>
      </c>
      <c r="T10" s="2"/>
      <c r="U10" s="2"/>
    </row>
    <row r="11" spans="1:21" x14ac:dyDescent="0.25">
      <c r="A11" s="7" t="s">
        <v>33</v>
      </c>
      <c r="B11" s="2">
        <v>385</v>
      </c>
      <c r="C11" s="2">
        <v>9245</v>
      </c>
      <c r="D11" s="34">
        <f t="shared" si="0"/>
        <v>60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8</v>
      </c>
      <c r="L11" s="2">
        <v>4</v>
      </c>
      <c r="M11" s="2">
        <v>8</v>
      </c>
      <c r="N11" s="2">
        <v>4</v>
      </c>
      <c r="O11" s="2">
        <v>8</v>
      </c>
      <c r="P11" s="2">
        <v>4</v>
      </c>
      <c r="Q11" s="2">
        <v>8</v>
      </c>
      <c r="R11" s="2">
        <v>4</v>
      </c>
      <c r="S11" s="3">
        <v>46167</v>
      </c>
      <c r="T11" s="2"/>
      <c r="U11" s="2"/>
    </row>
    <row r="12" spans="1:21" x14ac:dyDescent="0.25">
      <c r="A12" s="7" t="s">
        <v>33</v>
      </c>
      <c r="B12" s="2">
        <v>386</v>
      </c>
      <c r="C12" s="2">
        <v>9242</v>
      </c>
      <c r="D12" s="34">
        <f t="shared" si="0"/>
        <v>60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8</v>
      </c>
      <c r="L12" s="2">
        <v>4</v>
      </c>
      <c r="M12" s="2">
        <v>8</v>
      </c>
      <c r="N12" s="2">
        <v>4</v>
      </c>
      <c r="O12" s="2">
        <v>8</v>
      </c>
      <c r="P12" s="2">
        <v>4</v>
      </c>
      <c r="Q12" s="2">
        <v>8</v>
      </c>
      <c r="R12" s="2">
        <v>4</v>
      </c>
      <c r="S12" s="3">
        <v>46167</v>
      </c>
      <c r="T12" s="2"/>
      <c r="U12" s="2"/>
    </row>
    <row r="13" spans="1:21" x14ac:dyDescent="0.25">
      <c r="A13" s="7" t="s">
        <v>33</v>
      </c>
      <c r="B13" s="2">
        <v>387</v>
      </c>
      <c r="C13" s="2">
        <v>9267</v>
      </c>
      <c r="D13" s="34">
        <f t="shared" si="0"/>
        <v>60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8</v>
      </c>
      <c r="L13" s="2">
        <v>4</v>
      </c>
      <c r="M13" s="2">
        <v>8</v>
      </c>
      <c r="N13" s="2">
        <v>4</v>
      </c>
      <c r="O13" s="2">
        <v>8</v>
      </c>
      <c r="P13" s="2">
        <v>4</v>
      </c>
      <c r="Q13" s="2">
        <v>8</v>
      </c>
      <c r="R13" s="2">
        <v>4</v>
      </c>
      <c r="S13" s="3">
        <v>46167</v>
      </c>
      <c r="T13" s="2"/>
      <c r="U13" s="2"/>
    </row>
    <row r="14" spans="1:21" x14ac:dyDescent="0.25">
      <c r="A14" s="7" t="s">
        <v>74</v>
      </c>
      <c r="B14" s="2">
        <v>391</v>
      </c>
      <c r="C14" s="2">
        <v>9210</v>
      </c>
      <c r="D14" s="34">
        <f t="shared" si="0"/>
        <v>36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3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 s="2">
        <v>3</v>
      </c>
      <c r="R14" s="2">
        <v>3</v>
      </c>
      <c r="S14" s="3">
        <v>46167</v>
      </c>
      <c r="T14" s="2"/>
      <c r="U14" s="2"/>
    </row>
    <row r="15" spans="1:21" x14ac:dyDescent="0.25">
      <c r="A15" s="7" t="s">
        <v>28</v>
      </c>
      <c r="B15" s="2">
        <v>392</v>
      </c>
      <c r="C15" s="2">
        <v>9231</v>
      </c>
      <c r="D15" s="34">
        <f t="shared" ref="D15:D26" si="1">SUM(E15:R15)</f>
        <v>24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2</v>
      </c>
      <c r="L15" s="2">
        <v>1</v>
      </c>
      <c r="M15" s="2">
        <v>2</v>
      </c>
      <c r="N15" s="2">
        <v>1</v>
      </c>
      <c r="O15" s="2">
        <v>2</v>
      </c>
      <c r="P15" s="2">
        <v>1</v>
      </c>
      <c r="Q15" s="2">
        <v>2</v>
      </c>
      <c r="R15" s="2">
        <v>1</v>
      </c>
      <c r="S15" s="3">
        <v>46168</v>
      </c>
      <c r="T15" s="2"/>
      <c r="U15" s="2"/>
    </row>
    <row r="16" spans="1:21" x14ac:dyDescent="0.25">
      <c r="A16" s="7" t="s">
        <v>28</v>
      </c>
      <c r="B16" s="2">
        <v>393</v>
      </c>
      <c r="C16" s="2">
        <v>9231</v>
      </c>
      <c r="D16" s="34">
        <f t="shared" si="1"/>
        <v>24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  <c r="K16" s="2">
        <v>2</v>
      </c>
      <c r="L16" s="2">
        <v>1</v>
      </c>
      <c r="M16" s="2">
        <v>2</v>
      </c>
      <c r="N16" s="2">
        <v>1</v>
      </c>
      <c r="O16" s="2">
        <v>2</v>
      </c>
      <c r="P16" s="2">
        <v>1</v>
      </c>
      <c r="Q16" s="2">
        <v>2</v>
      </c>
      <c r="R16" s="2">
        <v>1</v>
      </c>
      <c r="S16" s="3">
        <v>46168</v>
      </c>
      <c r="T16" s="2"/>
      <c r="U16" s="2"/>
    </row>
    <row r="17" spans="1:21" x14ac:dyDescent="0.25">
      <c r="A17" s="7" t="s">
        <v>28</v>
      </c>
      <c r="B17" s="2">
        <v>394</v>
      </c>
      <c r="C17" s="2">
        <v>9214</v>
      </c>
      <c r="D17" s="34">
        <f t="shared" si="1"/>
        <v>24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1</v>
      </c>
      <c r="M17" s="2">
        <v>2</v>
      </c>
      <c r="N17" s="2">
        <v>1</v>
      </c>
      <c r="O17" s="2">
        <v>2</v>
      </c>
      <c r="P17" s="2">
        <v>1</v>
      </c>
      <c r="Q17" s="2">
        <v>2</v>
      </c>
      <c r="R17" s="2">
        <v>1</v>
      </c>
      <c r="S17" s="3">
        <v>46168</v>
      </c>
      <c r="T17" s="2"/>
      <c r="U17" s="2"/>
    </row>
    <row r="18" spans="1:21" x14ac:dyDescent="0.25">
      <c r="A18" s="7" t="s">
        <v>28</v>
      </c>
      <c r="B18" s="2">
        <v>395</v>
      </c>
      <c r="C18" s="2">
        <v>9214</v>
      </c>
      <c r="D18" s="34">
        <f t="shared" si="1"/>
        <v>24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2">
        <v>1</v>
      </c>
      <c r="M18" s="2">
        <v>2</v>
      </c>
      <c r="N18" s="2">
        <v>1</v>
      </c>
      <c r="O18" s="2">
        <v>2</v>
      </c>
      <c r="P18" s="2">
        <v>1</v>
      </c>
      <c r="Q18" s="2">
        <v>2</v>
      </c>
      <c r="R18" s="2">
        <v>1</v>
      </c>
      <c r="S18" s="3">
        <v>46168</v>
      </c>
      <c r="T18" s="2"/>
      <c r="U18" s="2"/>
    </row>
    <row r="19" spans="1:21" x14ac:dyDescent="0.25">
      <c r="A19" s="7" t="s">
        <v>28</v>
      </c>
      <c r="B19" s="2">
        <v>396</v>
      </c>
      <c r="C19" s="2">
        <v>9272</v>
      </c>
      <c r="D19" s="34">
        <f t="shared" si="1"/>
        <v>24</v>
      </c>
      <c r="E19" s="2">
        <v>2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>
        <v>1</v>
      </c>
      <c r="M19" s="2">
        <v>2</v>
      </c>
      <c r="N19" s="2">
        <v>1</v>
      </c>
      <c r="O19" s="2">
        <v>2</v>
      </c>
      <c r="P19" s="2">
        <v>1</v>
      </c>
      <c r="Q19" s="2">
        <v>2</v>
      </c>
      <c r="R19" s="2">
        <v>1</v>
      </c>
      <c r="S19" s="3">
        <v>46168</v>
      </c>
      <c r="T19" s="2"/>
      <c r="U19" s="2"/>
    </row>
    <row r="20" spans="1:21" x14ac:dyDescent="0.25">
      <c r="A20" s="7" t="s">
        <v>28</v>
      </c>
      <c r="B20" s="2">
        <v>397</v>
      </c>
      <c r="C20" s="2">
        <v>9272</v>
      </c>
      <c r="D20" s="34">
        <f t="shared" si="1"/>
        <v>24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1</v>
      </c>
      <c r="M20" s="2">
        <v>2</v>
      </c>
      <c r="N20" s="2">
        <v>1</v>
      </c>
      <c r="O20" s="2">
        <v>2</v>
      </c>
      <c r="P20" s="2">
        <v>1</v>
      </c>
      <c r="Q20" s="2">
        <v>2</v>
      </c>
      <c r="R20" s="2">
        <v>1</v>
      </c>
      <c r="S20" s="3">
        <v>46168</v>
      </c>
      <c r="T20" s="2"/>
      <c r="U20" s="2"/>
    </row>
    <row r="21" spans="1:21" x14ac:dyDescent="0.25">
      <c r="A21" s="7" t="s">
        <v>28</v>
      </c>
      <c r="B21" s="2">
        <v>398</v>
      </c>
      <c r="C21" s="2">
        <v>9270</v>
      </c>
      <c r="D21" s="34">
        <f t="shared" si="1"/>
        <v>24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1</v>
      </c>
      <c r="M21" s="2">
        <v>2</v>
      </c>
      <c r="N21" s="2">
        <v>1</v>
      </c>
      <c r="O21" s="2">
        <v>2</v>
      </c>
      <c r="P21" s="2">
        <v>1</v>
      </c>
      <c r="Q21" s="2">
        <v>2</v>
      </c>
      <c r="R21" s="2">
        <v>1</v>
      </c>
      <c r="S21" s="3">
        <v>46168</v>
      </c>
      <c r="T21" s="2"/>
      <c r="U21" s="2"/>
    </row>
    <row r="22" spans="1:21" x14ac:dyDescent="0.25">
      <c r="A22" s="7" t="s">
        <v>28</v>
      </c>
      <c r="B22" s="2">
        <v>399</v>
      </c>
      <c r="C22" s="2">
        <v>9276</v>
      </c>
      <c r="D22" s="34">
        <f t="shared" si="1"/>
        <v>24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1</v>
      </c>
      <c r="M22" s="2">
        <v>2</v>
      </c>
      <c r="N22" s="2">
        <v>1</v>
      </c>
      <c r="O22" s="2">
        <v>2</v>
      </c>
      <c r="P22" s="2">
        <v>1</v>
      </c>
      <c r="Q22" s="2">
        <v>2</v>
      </c>
      <c r="R22" s="2">
        <v>1</v>
      </c>
      <c r="S22" s="3">
        <v>46168</v>
      </c>
      <c r="T22" s="2"/>
      <c r="U22" s="2"/>
    </row>
    <row r="23" spans="1:21" x14ac:dyDescent="0.25">
      <c r="A23" s="7" t="s">
        <v>28</v>
      </c>
      <c r="B23" s="2">
        <v>400</v>
      </c>
      <c r="C23" s="2">
        <v>9276</v>
      </c>
      <c r="D23" s="34">
        <f t="shared" si="1"/>
        <v>24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1</v>
      </c>
      <c r="M23" s="2">
        <v>2</v>
      </c>
      <c r="N23" s="2">
        <v>1</v>
      </c>
      <c r="O23" s="2">
        <v>2</v>
      </c>
      <c r="P23" s="2">
        <v>1</v>
      </c>
      <c r="Q23" s="2">
        <v>2</v>
      </c>
      <c r="R23" s="2">
        <v>1</v>
      </c>
      <c r="S23" s="3">
        <v>46168</v>
      </c>
      <c r="T23" s="2"/>
      <c r="U23" s="2"/>
    </row>
    <row r="24" spans="1:21" x14ac:dyDescent="0.25">
      <c r="A24" s="7" t="s">
        <v>247</v>
      </c>
      <c r="B24" s="2">
        <v>409</v>
      </c>
      <c r="C24" s="2">
        <v>9004</v>
      </c>
      <c r="D24" s="34">
        <f t="shared" si="1"/>
        <v>12</v>
      </c>
      <c r="E24" s="2">
        <v>1</v>
      </c>
      <c r="F24" s="2"/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/>
      <c r="S24" s="3">
        <v>46170</v>
      </c>
      <c r="T24" s="2"/>
      <c r="U24" s="2"/>
    </row>
    <row r="25" spans="1:21" x14ac:dyDescent="0.25">
      <c r="A25" s="7" t="s">
        <v>247</v>
      </c>
      <c r="B25" s="2">
        <v>410</v>
      </c>
      <c r="C25" s="2">
        <v>9232</v>
      </c>
      <c r="D25" s="34">
        <f t="shared" si="1"/>
        <v>12</v>
      </c>
      <c r="E25" s="2">
        <v>1</v>
      </c>
      <c r="F25" s="2"/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/>
      <c r="S25" s="3" t="s">
        <v>249</v>
      </c>
      <c r="T25" s="2"/>
      <c r="U25" s="2"/>
    </row>
    <row r="26" spans="1:21" x14ac:dyDescent="0.25">
      <c r="A26" s="7" t="s">
        <v>247</v>
      </c>
      <c r="B26" s="2">
        <v>411</v>
      </c>
      <c r="C26" s="2">
        <v>9218</v>
      </c>
      <c r="D26" s="34">
        <f t="shared" si="1"/>
        <v>12</v>
      </c>
      <c r="E26" s="2">
        <v>1</v>
      </c>
      <c r="F26" s="2"/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/>
      <c r="S26" s="3">
        <v>46170</v>
      </c>
      <c r="T26" s="2"/>
      <c r="U26" s="2"/>
    </row>
    <row r="27" spans="1:21" x14ac:dyDescent="0.25">
      <c r="B27" t="s">
        <v>248</v>
      </c>
      <c r="D27" s="34">
        <f>SUM(D3:D26)</f>
        <v>732</v>
      </c>
    </row>
    <row r="30" spans="1:21" ht="18.75" customHeight="1" x14ac:dyDescent="0.25">
      <c r="A30" s="63" t="s">
        <v>250</v>
      </c>
      <c r="B30" s="63"/>
      <c r="C30" s="63"/>
      <c r="D30" s="63"/>
      <c r="E30" s="100" t="s">
        <v>4</v>
      </c>
      <c r="F30" s="101"/>
      <c r="G30" s="101"/>
      <c r="H30" s="101"/>
      <c r="I30" s="101"/>
      <c r="J30" s="101"/>
      <c r="K30" s="101"/>
      <c r="L30" s="101"/>
      <c r="M30" s="101"/>
      <c r="N30" s="102"/>
      <c r="O30" s="93" t="s">
        <v>246</v>
      </c>
      <c r="P30" s="94"/>
      <c r="Q30" s="98" t="s">
        <v>6</v>
      </c>
      <c r="R30" s="98"/>
      <c r="S30" s="98"/>
    </row>
    <row r="31" spans="1:21" x14ac:dyDescent="0.25">
      <c r="A31" s="6" t="s">
        <v>0</v>
      </c>
      <c r="B31" s="6" t="s">
        <v>1</v>
      </c>
      <c r="C31" s="6" t="s">
        <v>3</v>
      </c>
      <c r="D31" s="12" t="s">
        <v>2</v>
      </c>
      <c r="E31" s="6">
        <v>22</v>
      </c>
      <c r="F31" s="6">
        <v>22.5</v>
      </c>
      <c r="G31" s="6">
        <v>23</v>
      </c>
      <c r="H31" s="6">
        <v>23.5</v>
      </c>
      <c r="I31" s="6">
        <v>24</v>
      </c>
      <c r="J31" s="6">
        <v>24.5</v>
      </c>
      <c r="K31" s="6">
        <v>25</v>
      </c>
      <c r="L31" s="6">
        <v>25.5</v>
      </c>
      <c r="M31" s="6">
        <v>26</v>
      </c>
      <c r="N31" s="6">
        <v>26.5</v>
      </c>
      <c r="O31" s="104"/>
      <c r="P31" s="105"/>
      <c r="Q31" s="98" t="s">
        <v>9</v>
      </c>
      <c r="R31" s="98"/>
      <c r="S31" s="38" t="s">
        <v>10</v>
      </c>
    </row>
    <row r="32" spans="1:21" x14ac:dyDescent="0.25">
      <c r="A32" s="1" t="s">
        <v>244</v>
      </c>
      <c r="B32" s="2">
        <v>381</v>
      </c>
      <c r="C32" s="2">
        <v>9218</v>
      </c>
      <c r="D32" s="34">
        <f>SUM(E32:N32)</f>
        <v>24</v>
      </c>
      <c r="E32" s="2">
        <v>2</v>
      </c>
      <c r="F32" s="2">
        <v>2</v>
      </c>
      <c r="G32" s="2">
        <v>2</v>
      </c>
      <c r="H32" s="2">
        <v>3</v>
      </c>
      <c r="I32" s="2">
        <v>3</v>
      </c>
      <c r="J32" s="2">
        <v>3</v>
      </c>
      <c r="K32" s="2">
        <v>3</v>
      </c>
      <c r="L32" s="2">
        <v>3</v>
      </c>
      <c r="M32" s="2">
        <v>3</v>
      </c>
      <c r="N32" s="2"/>
      <c r="O32" s="86">
        <v>46167</v>
      </c>
      <c r="P32" s="87"/>
      <c r="Q32" s="87"/>
      <c r="R32" s="87"/>
      <c r="S32" s="46"/>
    </row>
    <row r="33" spans="1:19" x14ac:dyDescent="0.25">
      <c r="A33" s="1" t="s">
        <v>244</v>
      </c>
      <c r="B33" s="2">
        <v>382</v>
      </c>
      <c r="C33" s="2">
        <v>9248</v>
      </c>
      <c r="D33" s="34">
        <f>SUM(E33:N33)</f>
        <v>24</v>
      </c>
      <c r="E33" s="2">
        <v>2</v>
      </c>
      <c r="F33" s="2">
        <v>2</v>
      </c>
      <c r="G33" s="2">
        <v>2</v>
      </c>
      <c r="H33" s="2">
        <v>3</v>
      </c>
      <c r="I33" s="2">
        <v>3</v>
      </c>
      <c r="J33" s="2">
        <v>3</v>
      </c>
      <c r="K33" s="2">
        <v>3</v>
      </c>
      <c r="L33" s="2">
        <v>3</v>
      </c>
      <c r="M33" s="2">
        <v>3</v>
      </c>
      <c r="N33" s="2"/>
      <c r="O33" s="86">
        <v>46167</v>
      </c>
      <c r="P33" s="87"/>
      <c r="Q33" s="87"/>
      <c r="R33" s="87"/>
      <c r="S33" s="46"/>
    </row>
    <row r="34" spans="1:19" x14ac:dyDescent="0.25">
      <c r="A34" s="1" t="s">
        <v>29</v>
      </c>
      <c r="B34" s="2">
        <v>388</v>
      </c>
      <c r="C34" s="2">
        <v>2403</v>
      </c>
      <c r="D34" s="34">
        <f>SUM(E34:N34)</f>
        <v>24</v>
      </c>
      <c r="E34" s="2">
        <v>2</v>
      </c>
      <c r="F34" s="2">
        <v>2</v>
      </c>
      <c r="G34" s="2">
        <v>4</v>
      </c>
      <c r="H34" s="2">
        <v>4</v>
      </c>
      <c r="I34" s="2">
        <v>4</v>
      </c>
      <c r="J34" s="2">
        <v>4</v>
      </c>
      <c r="K34" s="2">
        <v>4</v>
      </c>
      <c r="L34" s="2"/>
      <c r="M34" s="2"/>
      <c r="N34" s="2"/>
      <c r="O34" s="86">
        <v>46167</v>
      </c>
      <c r="P34" s="87"/>
      <c r="Q34" s="87"/>
      <c r="R34" s="87"/>
      <c r="S34" s="46"/>
    </row>
    <row r="35" spans="1:19" x14ac:dyDescent="0.25">
      <c r="A35" s="1" t="s">
        <v>29</v>
      </c>
      <c r="B35" s="2">
        <v>389</v>
      </c>
      <c r="C35" s="2">
        <v>2404</v>
      </c>
      <c r="D35" s="34">
        <f>SUM(E35:N35)</f>
        <v>24</v>
      </c>
      <c r="E35" s="2">
        <v>2</v>
      </c>
      <c r="F35" s="2">
        <v>2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/>
      <c r="M35" s="2"/>
      <c r="N35" s="2"/>
      <c r="O35" s="86">
        <v>46167</v>
      </c>
      <c r="P35" s="87"/>
      <c r="Q35" s="87"/>
      <c r="R35" s="87"/>
      <c r="S35" s="46"/>
    </row>
    <row r="36" spans="1:19" x14ac:dyDescent="0.25">
      <c r="A36" s="1" t="s">
        <v>29</v>
      </c>
      <c r="B36" s="2">
        <v>390</v>
      </c>
      <c r="C36" s="2">
        <v>2405</v>
      </c>
      <c r="D36" s="34">
        <f>SUM(E36:N36)</f>
        <v>24</v>
      </c>
      <c r="E36" s="2">
        <v>2</v>
      </c>
      <c r="F36" s="2">
        <v>2</v>
      </c>
      <c r="G36" s="2">
        <v>4</v>
      </c>
      <c r="H36" s="2">
        <v>4</v>
      </c>
      <c r="I36" s="2">
        <v>4</v>
      </c>
      <c r="J36" s="2">
        <v>4</v>
      </c>
      <c r="K36" s="2">
        <v>4</v>
      </c>
      <c r="L36" s="2"/>
      <c r="M36" s="2"/>
      <c r="N36" s="2"/>
      <c r="O36" s="86">
        <v>46167</v>
      </c>
      <c r="P36" s="87"/>
      <c r="Q36" s="87"/>
      <c r="R36" s="87"/>
      <c r="S36" s="46"/>
    </row>
    <row r="37" spans="1:19" x14ac:dyDescent="0.25">
      <c r="D37" s="34">
        <f>SUM(D32:D36)</f>
        <v>120</v>
      </c>
    </row>
    <row r="38" spans="1:19" x14ac:dyDescent="0.25">
      <c r="C38" s="51">
        <f>D27+D37</f>
        <v>852</v>
      </c>
    </row>
  </sheetData>
  <mergeCells count="19">
    <mergeCell ref="A1:D1"/>
    <mergeCell ref="E1:R1"/>
    <mergeCell ref="S1:S2"/>
    <mergeCell ref="T1:U1"/>
    <mergeCell ref="A30:D30"/>
    <mergeCell ref="O36:P36"/>
    <mergeCell ref="Q36:R36"/>
    <mergeCell ref="E30:N30"/>
    <mergeCell ref="Q30:S30"/>
    <mergeCell ref="O30:P31"/>
    <mergeCell ref="O34:P34"/>
    <mergeCell ref="Q34:R34"/>
    <mergeCell ref="O35:P35"/>
    <mergeCell ref="Q35:R35"/>
    <mergeCell ref="O32:P32"/>
    <mergeCell ref="O33:P33"/>
    <mergeCell ref="Q32:R32"/>
    <mergeCell ref="Q33:R33"/>
    <mergeCell ref="Q31:R31"/>
  </mergeCells>
  <pageMargins left="0.7" right="0.7" top="0.75" bottom="0.75" header="0.3" footer="0.3"/>
  <ignoredErrors>
    <ignoredError sqref="D32:D36 D3:D14 D15:D23 D24:D26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39"/>
  <sheetViews>
    <sheetView workbookViewId="0">
      <selection activeCell="C39" sqref="C39"/>
    </sheetView>
  </sheetViews>
  <sheetFormatPr defaultColWidth="11.42578125" defaultRowHeight="15" x14ac:dyDescent="0.25"/>
  <cols>
    <col min="1" max="1" width="23" customWidth="1"/>
    <col min="5" max="5" width="5" customWidth="1"/>
    <col min="6" max="6" width="5.5703125" customWidth="1"/>
    <col min="7" max="7" width="4.42578125" customWidth="1"/>
    <col min="8" max="8" width="5.7109375" customWidth="1"/>
    <col min="9" max="9" width="4.7109375" customWidth="1"/>
    <col min="10" max="10" width="5.140625" customWidth="1"/>
    <col min="11" max="11" width="4.85546875" customWidth="1"/>
    <col min="12" max="12" width="5.5703125" customWidth="1"/>
    <col min="13" max="13" width="5" customWidth="1"/>
    <col min="14" max="15" width="5.42578125" customWidth="1"/>
    <col min="16" max="16" width="6" customWidth="1"/>
    <col min="17" max="17" width="5.5703125" customWidth="1"/>
    <col min="18" max="18" width="5.28515625" customWidth="1"/>
    <col min="19" max="19" width="13.28515625" customWidth="1"/>
  </cols>
  <sheetData>
    <row r="1" spans="1:21" ht="18.75" x14ac:dyDescent="0.25">
      <c r="A1" s="63" t="s">
        <v>251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226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  <c r="T2" s="22" t="s">
        <v>9</v>
      </c>
      <c r="U2" s="22" t="s">
        <v>10</v>
      </c>
    </row>
    <row r="3" spans="1:21" x14ac:dyDescent="0.25">
      <c r="A3" s="1" t="s">
        <v>252</v>
      </c>
      <c r="B3" s="2">
        <v>412</v>
      </c>
      <c r="C3" s="2">
        <v>2601</v>
      </c>
      <c r="D3" s="34">
        <f>SUM(E3:R3)</f>
        <v>24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1</v>
      </c>
      <c r="M3" s="2">
        <v>2</v>
      </c>
      <c r="N3" s="2">
        <v>1</v>
      </c>
      <c r="O3" s="2">
        <v>2</v>
      </c>
      <c r="P3" s="2">
        <v>1</v>
      </c>
      <c r="Q3" s="2">
        <v>2</v>
      </c>
      <c r="R3" s="2">
        <v>1</v>
      </c>
      <c r="S3" s="3">
        <v>46174</v>
      </c>
      <c r="T3" s="2"/>
      <c r="U3" s="2"/>
    </row>
    <row r="4" spans="1:21" x14ac:dyDescent="0.25">
      <c r="A4" s="1" t="s">
        <v>252</v>
      </c>
      <c r="B4" s="2">
        <v>413</v>
      </c>
      <c r="C4" s="2">
        <v>2601</v>
      </c>
      <c r="D4" s="34">
        <f t="shared" ref="D4:D26" si="0">SUM(E4:R4)</f>
        <v>24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1</v>
      </c>
      <c r="M4" s="2">
        <v>2</v>
      </c>
      <c r="N4" s="2">
        <v>1</v>
      </c>
      <c r="O4" s="2">
        <v>2</v>
      </c>
      <c r="P4" s="2">
        <v>1</v>
      </c>
      <c r="Q4" s="2">
        <v>2</v>
      </c>
      <c r="R4" s="2">
        <v>1</v>
      </c>
      <c r="S4" s="3">
        <v>46174</v>
      </c>
      <c r="T4" s="2"/>
      <c r="U4" s="2"/>
    </row>
    <row r="5" spans="1:21" x14ac:dyDescent="0.25">
      <c r="A5" s="1" t="s">
        <v>29</v>
      </c>
      <c r="B5" s="2">
        <v>414</v>
      </c>
      <c r="C5" s="2">
        <v>9269</v>
      </c>
      <c r="D5" s="34">
        <f t="shared" si="0"/>
        <v>24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1</v>
      </c>
      <c r="M5" s="2">
        <v>2</v>
      </c>
      <c r="N5" s="2">
        <v>1</v>
      </c>
      <c r="O5" s="2">
        <v>2</v>
      </c>
      <c r="P5" s="2">
        <v>1</v>
      </c>
      <c r="Q5" s="2">
        <v>2</v>
      </c>
      <c r="R5" s="2">
        <v>1</v>
      </c>
      <c r="S5" s="3">
        <v>46174</v>
      </c>
      <c r="T5" s="2"/>
      <c r="U5" s="2"/>
    </row>
    <row r="6" spans="1:21" x14ac:dyDescent="0.25">
      <c r="A6" s="1" t="s">
        <v>29</v>
      </c>
      <c r="B6" s="2">
        <v>415</v>
      </c>
      <c r="C6" s="2">
        <v>9271</v>
      </c>
      <c r="D6" s="34">
        <f t="shared" si="0"/>
        <v>24</v>
      </c>
      <c r="E6" s="2">
        <v>2</v>
      </c>
      <c r="F6" s="2">
        <v>2</v>
      </c>
      <c r="G6" s="2">
        <v>2</v>
      </c>
      <c r="H6" s="2">
        <v>2</v>
      </c>
      <c r="I6" s="2">
        <v>2</v>
      </c>
      <c r="J6" s="2">
        <v>2</v>
      </c>
      <c r="K6" s="2">
        <v>2</v>
      </c>
      <c r="L6" s="2">
        <v>1</v>
      </c>
      <c r="M6" s="2">
        <v>2</v>
      </c>
      <c r="N6" s="2">
        <v>1</v>
      </c>
      <c r="O6" s="2">
        <v>2</v>
      </c>
      <c r="P6" s="2">
        <v>1</v>
      </c>
      <c r="Q6" s="2">
        <v>2</v>
      </c>
      <c r="R6" s="2">
        <v>1</v>
      </c>
      <c r="S6" s="3">
        <v>46174</v>
      </c>
      <c r="T6" s="2"/>
      <c r="U6" s="2"/>
    </row>
    <row r="7" spans="1:21" x14ac:dyDescent="0.25">
      <c r="A7" s="1" t="s">
        <v>29</v>
      </c>
      <c r="B7" s="2">
        <v>416</v>
      </c>
      <c r="C7" s="2">
        <v>9278</v>
      </c>
      <c r="D7" s="34">
        <f t="shared" si="0"/>
        <v>24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s="2">
        <v>1</v>
      </c>
      <c r="M7" s="2">
        <v>2</v>
      </c>
      <c r="N7" s="2">
        <v>1</v>
      </c>
      <c r="O7" s="2">
        <v>2</v>
      </c>
      <c r="P7" s="2">
        <v>1</v>
      </c>
      <c r="Q7" s="2">
        <v>2</v>
      </c>
      <c r="R7" s="2">
        <v>1</v>
      </c>
      <c r="S7" s="3">
        <v>46174</v>
      </c>
      <c r="T7" s="2"/>
      <c r="U7" s="2"/>
    </row>
    <row r="8" spans="1:21" x14ac:dyDescent="0.25">
      <c r="A8" s="1" t="s">
        <v>253</v>
      </c>
      <c r="B8" s="2">
        <v>419</v>
      </c>
      <c r="C8" s="2">
        <v>9231</v>
      </c>
      <c r="D8" s="34">
        <f t="shared" si="0"/>
        <v>24</v>
      </c>
      <c r="E8" s="2">
        <v>1</v>
      </c>
      <c r="F8" s="2">
        <v>1</v>
      </c>
      <c r="G8" s="2">
        <v>2</v>
      </c>
      <c r="H8" s="2">
        <v>3</v>
      </c>
      <c r="I8" s="2">
        <v>2</v>
      </c>
      <c r="J8" s="2">
        <v>3</v>
      </c>
      <c r="K8" s="2">
        <v>2</v>
      </c>
      <c r="L8" s="2">
        <v>1</v>
      </c>
      <c r="M8" s="2">
        <v>2</v>
      </c>
      <c r="N8" s="2">
        <v>1</v>
      </c>
      <c r="O8" s="2">
        <v>2</v>
      </c>
      <c r="P8" s="2">
        <v>1</v>
      </c>
      <c r="Q8" s="2">
        <v>2</v>
      </c>
      <c r="R8" s="2">
        <v>1</v>
      </c>
      <c r="S8" s="3">
        <v>46175</v>
      </c>
      <c r="T8" s="2"/>
      <c r="U8" s="2"/>
    </row>
    <row r="9" spans="1:21" x14ac:dyDescent="0.25">
      <c r="A9" s="1" t="s">
        <v>253</v>
      </c>
      <c r="B9" s="2">
        <v>420</v>
      </c>
      <c r="C9" s="2">
        <v>9201</v>
      </c>
      <c r="D9" s="34">
        <f t="shared" si="0"/>
        <v>24</v>
      </c>
      <c r="E9" s="2">
        <v>1</v>
      </c>
      <c r="F9" s="2">
        <v>1</v>
      </c>
      <c r="G9" s="2">
        <v>2</v>
      </c>
      <c r="H9" s="2">
        <v>3</v>
      </c>
      <c r="I9" s="2">
        <v>2</v>
      </c>
      <c r="J9" s="2">
        <v>3</v>
      </c>
      <c r="K9" s="2">
        <v>2</v>
      </c>
      <c r="L9" s="2">
        <v>1</v>
      </c>
      <c r="M9" s="2">
        <v>2</v>
      </c>
      <c r="N9" s="2">
        <v>1</v>
      </c>
      <c r="O9" s="2">
        <v>2</v>
      </c>
      <c r="P9" s="2">
        <v>1</v>
      </c>
      <c r="Q9" s="2">
        <v>2</v>
      </c>
      <c r="R9" s="2">
        <v>1</v>
      </c>
      <c r="S9" s="3">
        <v>46175</v>
      </c>
      <c r="T9" s="2"/>
      <c r="U9" s="2"/>
    </row>
    <row r="10" spans="1:21" x14ac:dyDescent="0.25">
      <c r="A10" s="1" t="s">
        <v>253</v>
      </c>
      <c r="B10" s="2">
        <v>421</v>
      </c>
      <c r="C10" s="2">
        <v>9218</v>
      </c>
      <c r="D10" s="34">
        <f t="shared" si="0"/>
        <v>24</v>
      </c>
      <c r="E10" s="2">
        <v>1</v>
      </c>
      <c r="F10" s="2">
        <v>1</v>
      </c>
      <c r="G10" s="2">
        <v>2</v>
      </c>
      <c r="H10" s="2">
        <v>3</v>
      </c>
      <c r="I10" s="2">
        <v>2</v>
      </c>
      <c r="J10" s="2">
        <v>3</v>
      </c>
      <c r="K10" s="2">
        <v>2</v>
      </c>
      <c r="L10" s="2">
        <v>1</v>
      </c>
      <c r="M10" s="2">
        <v>2</v>
      </c>
      <c r="N10" s="2">
        <v>1</v>
      </c>
      <c r="O10" s="2">
        <v>2</v>
      </c>
      <c r="P10" s="2">
        <v>1</v>
      </c>
      <c r="Q10" s="2">
        <v>2</v>
      </c>
      <c r="R10" s="2">
        <v>1</v>
      </c>
      <c r="S10" s="3">
        <v>46175</v>
      </c>
      <c r="T10" s="2"/>
      <c r="U10" s="2"/>
    </row>
    <row r="11" spans="1:21" x14ac:dyDescent="0.25">
      <c r="A11" s="1" t="s">
        <v>253</v>
      </c>
      <c r="B11" s="2">
        <v>422</v>
      </c>
      <c r="C11" s="2">
        <v>9201</v>
      </c>
      <c r="D11" s="34">
        <f t="shared" si="0"/>
        <v>24</v>
      </c>
      <c r="E11" s="2">
        <v>1</v>
      </c>
      <c r="F11" s="2">
        <v>1</v>
      </c>
      <c r="G11" s="2">
        <v>2</v>
      </c>
      <c r="H11" s="2">
        <v>3</v>
      </c>
      <c r="I11" s="2">
        <v>2</v>
      </c>
      <c r="J11" s="2">
        <v>3</v>
      </c>
      <c r="K11" s="2">
        <v>2</v>
      </c>
      <c r="L11" s="2">
        <v>1</v>
      </c>
      <c r="M11" s="2">
        <v>2</v>
      </c>
      <c r="N11" s="2">
        <v>1</v>
      </c>
      <c r="O11" s="2">
        <v>2</v>
      </c>
      <c r="P11" s="2">
        <v>1</v>
      </c>
      <c r="Q11" s="2">
        <v>2</v>
      </c>
      <c r="R11" s="2">
        <v>1</v>
      </c>
      <c r="S11" s="3">
        <v>46175</v>
      </c>
      <c r="T11" s="2"/>
      <c r="U11" s="2"/>
    </row>
    <row r="12" spans="1:21" x14ac:dyDescent="0.25">
      <c r="A12" s="1" t="s">
        <v>88</v>
      </c>
      <c r="B12" s="2">
        <v>442</v>
      </c>
      <c r="C12" s="2">
        <v>9201</v>
      </c>
      <c r="D12" s="34">
        <f t="shared" si="0"/>
        <v>12</v>
      </c>
      <c r="E12" s="2"/>
      <c r="F12" s="2"/>
      <c r="G12" s="2"/>
      <c r="H12" s="2"/>
      <c r="I12" s="2"/>
      <c r="J12" s="2"/>
      <c r="K12" s="2">
        <v>2</v>
      </c>
      <c r="L12" s="2">
        <v>1</v>
      </c>
      <c r="M12" s="2">
        <v>2</v>
      </c>
      <c r="N12" s="2">
        <v>1</v>
      </c>
      <c r="O12" s="2">
        <v>2</v>
      </c>
      <c r="P12" s="2">
        <v>1</v>
      </c>
      <c r="Q12" s="2">
        <v>2</v>
      </c>
      <c r="R12" s="2">
        <v>1</v>
      </c>
      <c r="S12" s="3">
        <v>46175</v>
      </c>
      <c r="T12" s="2"/>
      <c r="U12" s="2"/>
    </row>
    <row r="13" spans="1:21" x14ac:dyDescent="0.25">
      <c r="A13" s="1" t="s">
        <v>28</v>
      </c>
      <c r="B13" s="2">
        <v>447</v>
      </c>
      <c r="C13" s="2">
        <v>9248</v>
      </c>
      <c r="D13" s="34">
        <f t="shared" si="0"/>
        <v>70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3">
        <v>46176</v>
      </c>
      <c r="T13" s="2"/>
      <c r="U13" s="2"/>
    </row>
    <row r="14" spans="1:21" x14ac:dyDescent="0.25">
      <c r="A14" s="1" t="s">
        <v>255</v>
      </c>
      <c r="B14" s="2">
        <v>448</v>
      </c>
      <c r="C14" s="2">
        <v>9213</v>
      </c>
      <c r="D14" s="34">
        <f t="shared" si="0"/>
        <v>48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4</v>
      </c>
      <c r="K14" s="2">
        <v>4</v>
      </c>
      <c r="L14" s="2">
        <v>2</v>
      </c>
      <c r="M14" s="2">
        <v>4</v>
      </c>
      <c r="N14" s="2">
        <v>2</v>
      </c>
      <c r="O14" s="2">
        <v>4</v>
      </c>
      <c r="P14" s="2">
        <v>2</v>
      </c>
      <c r="Q14" s="2">
        <v>4</v>
      </c>
      <c r="R14" s="2">
        <v>2</v>
      </c>
      <c r="S14" s="3">
        <v>46176</v>
      </c>
      <c r="T14" s="2"/>
      <c r="U14" s="2"/>
    </row>
    <row r="15" spans="1:21" x14ac:dyDescent="0.25">
      <c r="A15" s="1" t="s">
        <v>255</v>
      </c>
      <c r="B15" s="2">
        <v>449</v>
      </c>
      <c r="C15" s="2">
        <v>9267</v>
      </c>
      <c r="D15" s="34">
        <f t="shared" si="0"/>
        <v>12</v>
      </c>
      <c r="E15" s="2"/>
      <c r="F15" s="2"/>
      <c r="G15" s="2"/>
      <c r="H15" s="2"/>
      <c r="I15" s="2"/>
      <c r="J15" s="2"/>
      <c r="K15" s="2">
        <v>2</v>
      </c>
      <c r="L15" s="2">
        <v>1</v>
      </c>
      <c r="M15" s="2">
        <v>2</v>
      </c>
      <c r="N15" s="2">
        <v>1</v>
      </c>
      <c r="O15" s="2">
        <v>2</v>
      </c>
      <c r="P15" s="2">
        <v>1</v>
      </c>
      <c r="Q15" s="2">
        <v>2</v>
      </c>
      <c r="R15" s="2">
        <v>1</v>
      </c>
      <c r="S15" s="3">
        <v>46177</v>
      </c>
      <c r="T15" s="2"/>
      <c r="U15" s="2"/>
    </row>
    <row r="16" spans="1:21" x14ac:dyDescent="0.25">
      <c r="A16" s="1" t="s">
        <v>255</v>
      </c>
      <c r="B16" s="2">
        <v>450</v>
      </c>
      <c r="C16" s="2">
        <v>9262</v>
      </c>
      <c r="D16" s="34">
        <f t="shared" si="0"/>
        <v>12</v>
      </c>
      <c r="E16" s="2"/>
      <c r="F16" s="2"/>
      <c r="G16" s="2"/>
      <c r="H16" s="2"/>
      <c r="I16" s="2"/>
      <c r="J16" s="2"/>
      <c r="K16" s="2">
        <v>2</v>
      </c>
      <c r="L16" s="2">
        <v>1</v>
      </c>
      <c r="M16" s="2">
        <v>2</v>
      </c>
      <c r="N16" s="2">
        <v>1</v>
      </c>
      <c r="O16" s="2">
        <v>2</v>
      </c>
      <c r="P16" s="2">
        <v>1</v>
      </c>
      <c r="Q16" s="2">
        <v>2</v>
      </c>
      <c r="R16" s="2">
        <v>1</v>
      </c>
      <c r="S16" s="3">
        <v>46177</v>
      </c>
      <c r="T16" s="2"/>
      <c r="U16" s="2"/>
    </row>
    <row r="17" spans="1:21" x14ac:dyDescent="0.25">
      <c r="A17" s="1" t="s">
        <v>255</v>
      </c>
      <c r="B17" s="2">
        <v>451</v>
      </c>
      <c r="C17" s="2">
        <v>9259</v>
      </c>
      <c r="D17" s="34">
        <f t="shared" si="0"/>
        <v>12</v>
      </c>
      <c r="E17" s="2"/>
      <c r="F17" s="2"/>
      <c r="G17" s="2"/>
      <c r="H17" s="2"/>
      <c r="I17" s="2"/>
      <c r="J17" s="2"/>
      <c r="K17" s="2">
        <v>2</v>
      </c>
      <c r="L17" s="2">
        <v>1</v>
      </c>
      <c r="M17" s="2">
        <v>2</v>
      </c>
      <c r="N17" s="2">
        <v>1</v>
      </c>
      <c r="O17" s="2">
        <v>2</v>
      </c>
      <c r="P17" s="2">
        <v>1</v>
      </c>
      <c r="Q17" s="2">
        <v>2</v>
      </c>
      <c r="R17" s="2">
        <v>1</v>
      </c>
      <c r="S17" s="3">
        <v>46177</v>
      </c>
      <c r="T17" s="2"/>
      <c r="U17" s="2"/>
    </row>
    <row r="18" spans="1:21" x14ac:dyDescent="0.25">
      <c r="A18" s="1" t="s">
        <v>255</v>
      </c>
      <c r="B18" s="2">
        <v>452</v>
      </c>
      <c r="C18" s="2">
        <v>9245</v>
      </c>
      <c r="D18" s="34">
        <f t="shared" si="0"/>
        <v>12</v>
      </c>
      <c r="E18" s="2"/>
      <c r="F18" s="2"/>
      <c r="G18" s="2"/>
      <c r="H18" s="2"/>
      <c r="I18" s="2"/>
      <c r="J18" s="2"/>
      <c r="K18" s="2">
        <v>2</v>
      </c>
      <c r="L18" s="2">
        <v>1</v>
      </c>
      <c r="M18" s="2">
        <v>2</v>
      </c>
      <c r="N18" s="2">
        <v>1</v>
      </c>
      <c r="O18" s="2">
        <v>2</v>
      </c>
      <c r="P18" s="2">
        <v>1</v>
      </c>
      <c r="Q18" s="2">
        <v>2</v>
      </c>
      <c r="R18" s="2">
        <v>1</v>
      </c>
      <c r="S18" s="3">
        <v>46177</v>
      </c>
      <c r="T18" s="2"/>
      <c r="U18" s="2"/>
    </row>
    <row r="19" spans="1:21" x14ac:dyDescent="0.25">
      <c r="A19" s="1" t="s">
        <v>255</v>
      </c>
      <c r="B19" s="2">
        <v>453</v>
      </c>
      <c r="C19" s="2">
        <v>9236</v>
      </c>
      <c r="D19" s="34">
        <f t="shared" si="0"/>
        <v>12</v>
      </c>
      <c r="E19" s="2"/>
      <c r="F19" s="2"/>
      <c r="G19" s="2"/>
      <c r="H19" s="2"/>
      <c r="I19" s="2"/>
      <c r="J19" s="2"/>
      <c r="K19" s="2">
        <v>2</v>
      </c>
      <c r="L19" s="2">
        <v>1</v>
      </c>
      <c r="M19" s="2">
        <v>2</v>
      </c>
      <c r="N19" s="2">
        <v>1</v>
      </c>
      <c r="O19" s="2">
        <v>2</v>
      </c>
      <c r="P19" s="2">
        <v>1</v>
      </c>
      <c r="Q19" s="2">
        <v>2</v>
      </c>
      <c r="R19" s="2">
        <v>1</v>
      </c>
      <c r="S19" s="3">
        <v>46177</v>
      </c>
      <c r="T19" s="2"/>
      <c r="U19" s="2"/>
    </row>
    <row r="20" spans="1:21" x14ac:dyDescent="0.25">
      <c r="A20" s="1" t="s">
        <v>255</v>
      </c>
      <c r="B20" s="2">
        <v>454</v>
      </c>
      <c r="C20" s="2" t="s">
        <v>256</v>
      </c>
      <c r="D20" s="34">
        <f t="shared" si="0"/>
        <v>12</v>
      </c>
      <c r="E20" s="2"/>
      <c r="F20" s="2"/>
      <c r="G20" s="2"/>
      <c r="H20" s="2"/>
      <c r="I20" s="2"/>
      <c r="J20" s="2"/>
      <c r="K20" s="2">
        <v>2</v>
      </c>
      <c r="L20" s="2">
        <v>1</v>
      </c>
      <c r="M20" s="2">
        <v>2</v>
      </c>
      <c r="N20" s="2">
        <v>1</v>
      </c>
      <c r="O20" s="2">
        <v>2</v>
      </c>
      <c r="P20" s="2">
        <v>1</v>
      </c>
      <c r="Q20" s="2">
        <v>2</v>
      </c>
      <c r="R20" s="2">
        <v>1</v>
      </c>
      <c r="S20" s="3">
        <v>46177</v>
      </c>
      <c r="T20" s="2"/>
      <c r="U20" s="2"/>
    </row>
    <row r="21" spans="1:21" x14ac:dyDescent="0.25">
      <c r="A21" s="1" t="s">
        <v>255</v>
      </c>
      <c r="B21" s="2">
        <v>455</v>
      </c>
      <c r="C21" s="2">
        <v>9231</v>
      </c>
      <c r="D21" s="34">
        <f t="shared" si="0"/>
        <v>12</v>
      </c>
      <c r="E21" s="2"/>
      <c r="F21" s="2"/>
      <c r="G21" s="2"/>
      <c r="H21" s="2"/>
      <c r="I21" s="2"/>
      <c r="J21" s="2"/>
      <c r="K21" s="2">
        <v>2</v>
      </c>
      <c r="L21" s="2">
        <v>1</v>
      </c>
      <c r="M21" s="2">
        <v>2</v>
      </c>
      <c r="N21" s="2">
        <v>1</v>
      </c>
      <c r="O21" s="2">
        <v>2</v>
      </c>
      <c r="P21" s="2">
        <v>1</v>
      </c>
      <c r="Q21" s="2">
        <v>2</v>
      </c>
      <c r="R21" s="2">
        <v>1</v>
      </c>
      <c r="S21" s="3">
        <v>46177</v>
      </c>
      <c r="T21" s="2"/>
      <c r="U21" s="2"/>
    </row>
    <row r="22" spans="1:21" x14ac:dyDescent="0.25">
      <c r="A22" s="1" t="s">
        <v>255</v>
      </c>
      <c r="B22" s="2">
        <v>456</v>
      </c>
      <c r="C22" s="2">
        <v>9214</v>
      </c>
      <c r="D22" s="34">
        <f t="shared" si="0"/>
        <v>12</v>
      </c>
      <c r="E22" s="2"/>
      <c r="F22" s="2"/>
      <c r="G22" s="2"/>
      <c r="H22" s="2"/>
      <c r="I22" s="2"/>
      <c r="J22" s="2"/>
      <c r="K22" s="2">
        <v>2</v>
      </c>
      <c r="L22" s="2">
        <v>1</v>
      </c>
      <c r="M22" s="2">
        <v>2</v>
      </c>
      <c r="N22" s="2">
        <v>1</v>
      </c>
      <c r="O22" s="2">
        <v>2</v>
      </c>
      <c r="P22" s="2">
        <v>1</v>
      </c>
      <c r="Q22" s="2">
        <v>2</v>
      </c>
      <c r="R22" s="2">
        <v>1</v>
      </c>
      <c r="S22" s="3">
        <v>46177</v>
      </c>
      <c r="T22" s="2"/>
      <c r="U22" s="2"/>
    </row>
    <row r="23" spans="1:21" x14ac:dyDescent="0.25">
      <c r="A23" s="1" t="s">
        <v>255</v>
      </c>
      <c r="B23" s="2">
        <v>457</v>
      </c>
      <c r="C23" s="2">
        <v>9205</v>
      </c>
      <c r="D23" s="34">
        <f t="shared" si="0"/>
        <v>12</v>
      </c>
      <c r="E23" s="2"/>
      <c r="F23" s="2"/>
      <c r="G23" s="2"/>
      <c r="H23" s="2"/>
      <c r="I23" s="2"/>
      <c r="J23" s="2"/>
      <c r="K23" s="2">
        <v>2</v>
      </c>
      <c r="L23" s="2">
        <v>1</v>
      </c>
      <c r="M23" s="2">
        <v>2</v>
      </c>
      <c r="N23" s="2">
        <v>1</v>
      </c>
      <c r="O23" s="2">
        <v>2</v>
      </c>
      <c r="P23" s="2">
        <v>1</v>
      </c>
      <c r="Q23" s="2">
        <v>2</v>
      </c>
      <c r="R23" s="2">
        <v>1</v>
      </c>
      <c r="S23" s="3">
        <v>46177</v>
      </c>
      <c r="T23" s="2"/>
      <c r="U23" s="2"/>
    </row>
    <row r="24" spans="1:21" x14ac:dyDescent="0.25">
      <c r="A24" s="1" t="s">
        <v>255</v>
      </c>
      <c r="B24" s="2">
        <v>458</v>
      </c>
      <c r="C24" s="2" t="s">
        <v>30</v>
      </c>
      <c r="D24" s="34">
        <f t="shared" si="0"/>
        <v>12</v>
      </c>
      <c r="E24" s="2"/>
      <c r="F24" s="2"/>
      <c r="G24" s="2"/>
      <c r="H24" s="2"/>
      <c r="I24" s="2"/>
      <c r="J24" s="2"/>
      <c r="K24" s="2">
        <v>2</v>
      </c>
      <c r="L24" s="2">
        <v>1</v>
      </c>
      <c r="M24" s="2">
        <v>2</v>
      </c>
      <c r="N24" s="2">
        <v>1</v>
      </c>
      <c r="O24" s="2">
        <v>2</v>
      </c>
      <c r="P24" s="2">
        <v>1</v>
      </c>
      <c r="Q24" s="2">
        <v>2</v>
      </c>
      <c r="R24" s="2">
        <v>1</v>
      </c>
      <c r="S24" s="3">
        <v>46177</v>
      </c>
      <c r="T24" s="2"/>
      <c r="U24" s="2"/>
    </row>
    <row r="25" spans="1:21" x14ac:dyDescent="0.25">
      <c r="A25" s="1" t="s">
        <v>255</v>
      </c>
      <c r="B25" s="2">
        <v>459</v>
      </c>
      <c r="C25" s="2">
        <v>9208</v>
      </c>
      <c r="D25" s="34">
        <f t="shared" si="0"/>
        <v>12</v>
      </c>
      <c r="E25" s="2"/>
      <c r="F25" s="2"/>
      <c r="G25" s="2"/>
      <c r="H25" s="2"/>
      <c r="I25" s="2"/>
      <c r="J25" s="2"/>
      <c r="K25" s="2">
        <v>2</v>
      </c>
      <c r="L25" s="2">
        <v>1</v>
      </c>
      <c r="M25" s="2">
        <v>2</v>
      </c>
      <c r="N25" s="2">
        <v>1</v>
      </c>
      <c r="O25" s="2">
        <v>2</v>
      </c>
      <c r="P25" s="2">
        <v>1</v>
      </c>
      <c r="Q25" s="2">
        <v>2</v>
      </c>
      <c r="R25" s="2">
        <v>1</v>
      </c>
      <c r="S25" s="3">
        <v>46177</v>
      </c>
      <c r="T25" s="2"/>
      <c r="U25" s="2"/>
    </row>
    <row r="26" spans="1:21" x14ac:dyDescent="0.25">
      <c r="A26" s="1" t="s">
        <v>255</v>
      </c>
      <c r="B26" s="2">
        <v>460</v>
      </c>
      <c r="C26" s="2">
        <v>9263</v>
      </c>
      <c r="D26" s="34">
        <f t="shared" si="0"/>
        <v>12</v>
      </c>
      <c r="E26" s="2"/>
      <c r="F26" s="2"/>
      <c r="G26" s="2"/>
      <c r="H26" s="2"/>
      <c r="I26" s="2"/>
      <c r="J26" s="2"/>
      <c r="K26" s="2">
        <v>2</v>
      </c>
      <c r="L26" s="2">
        <v>1</v>
      </c>
      <c r="M26" s="2">
        <v>2</v>
      </c>
      <c r="N26" s="2">
        <v>1</v>
      </c>
      <c r="O26" s="2">
        <v>2</v>
      </c>
      <c r="P26" s="2">
        <v>1</v>
      </c>
      <c r="Q26" s="2">
        <v>2</v>
      </c>
      <c r="R26" s="2">
        <v>1</v>
      </c>
      <c r="S26" s="3">
        <v>46177</v>
      </c>
      <c r="T26" s="2"/>
      <c r="U26" s="2"/>
    </row>
    <row r="27" spans="1:21" x14ac:dyDescent="0.25">
      <c r="A27" s="1" t="s">
        <v>255</v>
      </c>
      <c r="B27" s="2">
        <v>461</v>
      </c>
      <c r="C27" s="2">
        <v>9264</v>
      </c>
      <c r="D27" s="34">
        <f t="shared" ref="D27" si="1">SUM(E27:R27)</f>
        <v>12</v>
      </c>
      <c r="E27" s="2"/>
      <c r="F27" s="2"/>
      <c r="G27" s="2"/>
      <c r="H27" s="2"/>
      <c r="I27" s="2"/>
      <c r="J27" s="2"/>
      <c r="K27" s="2">
        <v>2</v>
      </c>
      <c r="L27" s="2">
        <v>1</v>
      </c>
      <c r="M27" s="2">
        <v>2</v>
      </c>
      <c r="N27" s="2">
        <v>1</v>
      </c>
      <c r="O27" s="2">
        <v>2</v>
      </c>
      <c r="P27" s="2">
        <v>1</v>
      </c>
      <c r="Q27" s="2">
        <v>2</v>
      </c>
      <c r="R27" s="2">
        <v>1</v>
      </c>
      <c r="S27" s="3">
        <v>46177</v>
      </c>
      <c r="T27" s="2"/>
      <c r="U27" s="2"/>
    </row>
    <row r="28" spans="1:21" x14ac:dyDescent="0.25">
      <c r="A28" s="1" t="s">
        <v>255</v>
      </c>
      <c r="B28" s="2">
        <v>462</v>
      </c>
      <c r="C28" s="2">
        <v>9240</v>
      </c>
      <c r="D28" s="34">
        <f t="shared" ref="D28" si="2">SUM(E28:R28)</f>
        <v>12</v>
      </c>
      <c r="E28" s="2"/>
      <c r="F28" s="2"/>
      <c r="G28" s="2"/>
      <c r="H28" s="2"/>
      <c r="I28" s="2"/>
      <c r="J28" s="2"/>
      <c r="K28" s="2">
        <v>2</v>
      </c>
      <c r="L28" s="2">
        <v>1</v>
      </c>
      <c r="M28" s="2">
        <v>2</v>
      </c>
      <c r="N28" s="2">
        <v>1</v>
      </c>
      <c r="O28" s="2">
        <v>2</v>
      </c>
      <c r="P28" s="2">
        <v>1</v>
      </c>
      <c r="Q28" s="2">
        <v>2</v>
      </c>
      <c r="R28" s="2">
        <v>1</v>
      </c>
      <c r="S28" s="3">
        <v>46178</v>
      </c>
      <c r="T28" s="2"/>
      <c r="U28" s="2"/>
    </row>
    <row r="29" spans="1:21" x14ac:dyDescent="0.25">
      <c r="D29" s="34">
        <f>SUM(D3:D28)</f>
        <v>514</v>
      </c>
    </row>
    <row r="31" spans="1:21" ht="18.75" x14ac:dyDescent="0.25">
      <c r="A31" s="63" t="s">
        <v>250</v>
      </c>
      <c r="B31" s="63"/>
      <c r="C31" s="63"/>
      <c r="D31" s="63"/>
      <c r="E31" s="100" t="s">
        <v>4</v>
      </c>
      <c r="F31" s="101"/>
      <c r="G31" s="101"/>
      <c r="H31" s="101"/>
      <c r="I31" s="101"/>
      <c r="J31" s="101"/>
      <c r="K31" s="101"/>
      <c r="L31" s="101"/>
      <c r="M31" s="101"/>
      <c r="N31" s="102"/>
      <c r="O31" s="93" t="s">
        <v>246</v>
      </c>
      <c r="P31" s="94"/>
      <c r="Q31" s="98" t="s">
        <v>6</v>
      </c>
      <c r="R31" s="98"/>
      <c r="S31" s="98"/>
    </row>
    <row r="32" spans="1:21" x14ac:dyDescent="0.25">
      <c r="A32" s="6" t="s">
        <v>0</v>
      </c>
      <c r="B32" s="6" t="s">
        <v>1</v>
      </c>
      <c r="C32" s="6" t="s">
        <v>3</v>
      </c>
      <c r="D32" s="12" t="s">
        <v>2</v>
      </c>
      <c r="E32" s="6">
        <v>22</v>
      </c>
      <c r="F32" s="6">
        <v>22.5</v>
      </c>
      <c r="G32" s="6">
        <v>23</v>
      </c>
      <c r="H32" s="6">
        <v>23.5</v>
      </c>
      <c r="I32" s="6">
        <v>24</v>
      </c>
      <c r="J32" s="6">
        <v>24.5</v>
      </c>
      <c r="K32" s="6">
        <v>25</v>
      </c>
      <c r="L32" s="6">
        <v>25.5</v>
      </c>
      <c r="M32" s="6">
        <v>26</v>
      </c>
      <c r="N32" s="6">
        <v>26.5</v>
      </c>
      <c r="O32" s="104"/>
      <c r="P32" s="105"/>
      <c r="Q32" s="98" t="s">
        <v>9</v>
      </c>
      <c r="R32" s="98"/>
      <c r="S32" s="38" t="s">
        <v>10</v>
      </c>
    </row>
    <row r="33" spans="1:19" x14ac:dyDescent="0.25">
      <c r="A33" s="7" t="s">
        <v>29</v>
      </c>
      <c r="B33" s="2">
        <v>417</v>
      </c>
      <c r="C33" s="2">
        <v>2401</v>
      </c>
      <c r="D33" s="34">
        <f>SUM(E33:N33)</f>
        <v>24</v>
      </c>
      <c r="E33" s="2">
        <v>2</v>
      </c>
      <c r="F33" s="2">
        <v>2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/>
      <c r="M33" s="2"/>
      <c r="N33" s="2"/>
      <c r="O33" s="76">
        <v>46174</v>
      </c>
      <c r="P33" s="78"/>
      <c r="Q33" s="106"/>
      <c r="R33" s="106"/>
      <c r="S33" s="2"/>
    </row>
    <row r="34" spans="1:19" x14ac:dyDescent="0.25">
      <c r="A34" s="7" t="s">
        <v>29</v>
      </c>
      <c r="B34" s="2">
        <v>418</v>
      </c>
      <c r="C34" s="2">
        <v>2406</v>
      </c>
      <c r="D34" s="34">
        <f t="shared" ref="D34:D36" si="3">SUM(E34:N34)</f>
        <v>24</v>
      </c>
      <c r="E34" s="2">
        <v>2</v>
      </c>
      <c r="F34" s="2">
        <v>2</v>
      </c>
      <c r="G34" s="2">
        <v>4</v>
      </c>
      <c r="H34" s="2">
        <v>4</v>
      </c>
      <c r="I34" s="2">
        <v>4</v>
      </c>
      <c r="J34" s="2">
        <v>4</v>
      </c>
      <c r="K34" s="2">
        <v>4</v>
      </c>
      <c r="L34" s="2"/>
      <c r="M34" s="2"/>
      <c r="N34" s="2"/>
      <c r="O34" s="76">
        <v>46174</v>
      </c>
      <c r="P34" s="78"/>
      <c r="Q34" s="106"/>
      <c r="R34" s="106"/>
      <c r="S34" s="2"/>
    </row>
    <row r="35" spans="1:19" x14ac:dyDescent="0.25">
      <c r="A35" s="7" t="s">
        <v>254</v>
      </c>
      <c r="B35" s="2">
        <v>443</v>
      </c>
      <c r="C35" s="2">
        <v>804</v>
      </c>
      <c r="D35" s="34">
        <f t="shared" si="3"/>
        <v>31</v>
      </c>
      <c r="E35" s="2">
        <v>6</v>
      </c>
      <c r="F35" s="2"/>
      <c r="G35" s="2">
        <v>9</v>
      </c>
      <c r="H35" s="2"/>
      <c r="I35" s="2">
        <v>8</v>
      </c>
      <c r="J35" s="2"/>
      <c r="K35" s="2">
        <v>8</v>
      </c>
      <c r="L35" s="2"/>
      <c r="M35" s="2"/>
      <c r="N35" s="2"/>
      <c r="O35" s="76">
        <v>46176</v>
      </c>
      <c r="P35" s="78"/>
      <c r="Q35" s="106"/>
      <c r="R35" s="106"/>
      <c r="S35" s="2"/>
    </row>
    <row r="36" spans="1:19" x14ac:dyDescent="0.25">
      <c r="A36" s="7" t="s">
        <v>254</v>
      </c>
      <c r="B36" s="2">
        <v>444</v>
      </c>
      <c r="C36" s="2">
        <v>2402</v>
      </c>
      <c r="D36" s="34">
        <f t="shared" si="3"/>
        <v>25</v>
      </c>
      <c r="E36" s="2">
        <v>6</v>
      </c>
      <c r="F36" s="2"/>
      <c r="G36" s="2">
        <v>7</v>
      </c>
      <c r="H36" s="2"/>
      <c r="I36" s="2">
        <v>7</v>
      </c>
      <c r="J36" s="2"/>
      <c r="K36" s="2">
        <v>5</v>
      </c>
      <c r="L36" s="2"/>
      <c r="M36" s="2"/>
      <c r="N36" s="2"/>
      <c r="O36" s="76">
        <v>46176</v>
      </c>
      <c r="P36" s="78"/>
      <c r="Q36" s="106"/>
      <c r="R36" s="106"/>
      <c r="S36" s="2"/>
    </row>
    <row r="37" spans="1:19" x14ac:dyDescent="0.25">
      <c r="A37" s="7" t="s">
        <v>254</v>
      </c>
      <c r="B37" s="2">
        <v>445</v>
      </c>
      <c r="C37" s="2">
        <v>2405</v>
      </c>
      <c r="D37" s="34">
        <f t="shared" ref="D37" si="4">SUM(E37:N37)</f>
        <v>31</v>
      </c>
      <c r="E37" s="2">
        <v>6</v>
      </c>
      <c r="F37" s="2"/>
      <c r="G37" s="2">
        <v>9</v>
      </c>
      <c r="H37" s="2"/>
      <c r="I37" s="2">
        <v>8</v>
      </c>
      <c r="J37" s="2"/>
      <c r="K37" s="2">
        <v>8</v>
      </c>
      <c r="L37" s="2"/>
      <c r="M37" s="2"/>
      <c r="N37" s="2"/>
      <c r="O37" s="76">
        <v>46176</v>
      </c>
      <c r="P37" s="78"/>
      <c r="Q37" s="106"/>
      <c r="R37" s="106"/>
      <c r="S37" s="2"/>
    </row>
    <row r="38" spans="1:19" x14ac:dyDescent="0.25">
      <c r="D38" s="34">
        <f>SUM(D33:D37)</f>
        <v>135</v>
      </c>
    </row>
    <row r="39" spans="1:19" x14ac:dyDescent="0.25">
      <c r="C39" s="51">
        <f>D29+D38</f>
        <v>649</v>
      </c>
    </row>
  </sheetData>
  <mergeCells count="19">
    <mergeCell ref="A1:D1"/>
    <mergeCell ref="E1:R1"/>
    <mergeCell ref="S1:S2"/>
    <mergeCell ref="T1:U1"/>
    <mergeCell ref="A31:D31"/>
    <mergeCell ref="E31:N31"/>
    <mergeCell ref="O31:P32"/>
    <mergeCell ref="Q31:S31"/>
    <mergeCell ref="Q32:R32"/>
    <mergeCell ref="O37:P37"/>
    <mergeCell ref="Q37:R37"/>
    <mergeCell ref="O36:P36"/>
    <mergeCell ref="Q36:R36"/>
    <mergeCell ref="Q33:R33"/>
    <mergeCell ref="O33:P33"/>
    <mergeCell ref="O34:P34"/>
    <mergeCell ref="Q34:R34"/>
    <mergeCell ref="O35:P35"/>
    <mergeCell ref="Q35:R35"/>
  </mergeCells>
  <pageMargins left="0.7" right="0.7" top="0.75" bottom="0.75" header="0.3" footer="0.3"/>
  <ignoredErrors>
    <ignoredError sqref="D33:D37 D3:D14 D23:D26 D15:D22 D27:D28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U243"/>
  <sheetViews>
    <sheetView topLeftCell="A4" workbookViewId="0">
      <selection activeCell="A50" sqref="A50:XFD52"/>
    </sheetView>
  </sheetViews>
  <sheetFormatPr defaultColWidth="11.42578125" defaultRowHeight="15" x14ac:dyDescent="0.25"/>
  <cols>
    <col min="1" max="1" width="23" customWidth="1"/>
    <col min="4" max="4" width="9.42578125" customWidth="1"/>
    <col min="5" max="5" width="4.85546875" customWidth="1"/>
    <col min="6" max="6" width="5" customWidth="1"/>
    <col min="7" max="7" width="4.5703125" customWidth="1"/>
    <col min="8" max="8" width="5.140625" customWidth="1"/>
    <col min="9" max="10" width="5.5703125" customWidth="1"/>
    <col min="11" max="11" width="4.7109375" customWidth="1"/>
    <col min="12" max="12" width="5.42578125" customWidth="1"/>
    <col min="13" max="13" width="4.5703125" customWidth="1"/>
    <col min="14" max="15" width="5.28515625" customWidth="1"/>
    <col min="16" max="16" width="5.7109375" customWidth="1"/>
    <col min="17" max="17" width="4.7109375" customWidth="1"/>
    <col min="18" max="18" width="5.42578125" customWidth="1"/>
    <col min="19" max="19" width="14" customWidth="1"/>
    <col min="20" max="20" width="11.7109375" customWidth="1"/>
    <col min="21" max="21" width="12" customWidth="1"/>
  </cols>
  <sheetData>
    <row r="1" spans="1:21" ht="18.75" x14ac:dyDescent="0.25">
      <c r="A1" s="63" t="s">
        <v>257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226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  <c r="T2" s="22" t="s">
        <v>9</v>
      </c>
      <c r="U2" s="22" t="s">
        <v>10</v>
      </c>
    </row>
    <row r="3" spans="1:21" x14ac:dyDescent="0.25">
      <c r="A3" s="1" t="s">
        <v>74</v>
      </c>
      <c r="B3" s="2">
        <v>463</v>
      </c>
      <c r="C3" s="2">
        <v>9203</v>
      </c>
      <c r="D3" s="34">
        <f>SUM(E3:R3)</f>
        <v>14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3">
        <v>46181</v>
      </c>
      <c r="T3" s="2"/>
      <c r="U3" s="2"/>
    </row>
    <row r="4" spans="1:21" x14ac:dyDescent="0.25">
      <c r="A4" s="1" t="s">
        <v>74</v>
      </c>
      <c r="B4" s="2">
        <v>464</v>
      </c>
      <c r="C4" s="2">
        <v>9211</v>
      </c>
      <c r="D4" s="34">
        <f t="shared" ref="D4:D21" si="0">SUM(E4:R4)</f>
        <v>14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3">
        <v>46181</v>
      </c>
      <c r="T4" s="2"/>
      <c r="U4" s="2"/>
    </row>
    <row r="5" spans="1:21" x14ac:dyDescent="0.25">
      <c r="A5" s="1" t="s">
        <v>74</v>
      </c>
      <c r="B5" s="2">
        <v>465</v>
      </c>
      <c r="C5" s="2">
        <v>9215</v>
      </c>
      <c r="D5" s="34">
        <f t="shared" si="0"/>
        <v>14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3">
        <v>46181</v>
      </c>
      <c r="T5" s="2"/>
      <c r="U5" s="2"/>
    </row>
    <row r="6" spans="1:21" x14ac:dyDescent="0.25">
      <c r="A6" s="1" t="s">
        <v>74</v>
      </c>
      <c r="B6" s="2">
        <v>466</v>
      </c>
      <c r="C6" s="2">
        <v>1001</v>
      </c>
      <c r="D6" s="34">
        <f t="shared" si="0"/>
        <v>28</v>
      </c>
      <c r="E6" s="2">
        <v>2</v>
      </c>
      <c r="F6" s="2">
        <v>2</v>
      </c>
      <c r="G6" s="2">
        <v>2</v>
      </c>
      <c r="H6" s="2">
        <v>2</v>
      </c>
      <c r="I6" s="2">
        <v>2</v>
      </c>
      <c r="J6" s="2">
        <v>2</v>
      </c>
      <c r="K6" s="2">
        <v>2</v>
      </c>
      <c r="L6" s="2">
        <v>2</v>
      </c>
      <c r="M6" s="2">
        <v>2</v>
      </c>
      <c r="N6" s="2">
        <v>2</v>
      </c>
      <c r="O6" s="2">
        <v>2</v>
      </c>
      <c r="P6" s="2">
        <v>2</v>
      </c>
      <c r="Q6" s="2">
        <v>2</v>
      </c>
      <c r="R6" s="2">
        <v>2</v>
      </c>
      <c r="S6" s="3">
        <v>46181</v>
      </c>
      <c r="T6" s="2"/>
      <c r="U6" s="2"/>
    </row>
    <row r="7" spans="1:21" x14ac:dyDescent="0.25">
      <c r="A7" s="1" t="s">
        <v>258</v>
      </c>
      <c r="B7" s="2">
        <v>467</v>
      </c>
      <c r="C7" s="2">
        <v>2601</v>
      </c>
      <c r="D7" s="34">
        <f t="shared" si="0"/>
        <v>24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s="2">
        <v>1</v>
      </c>
      <c r="M7" s="2">
        <v>2</v>
      </c>
      <c r="N7" s="2">
        <v>1</v>
      </c>
      <c r="O7" s="2">
        <v>2</v>
      </c>
      <c r="P7" s="2">
        <v>1</v>
      </c>
      <c r="Q7" s="2">
        <v>2</v>
      </c>
      <c r="R7" s="2">
        <v>1</v>
      </c>
      <c r="S7" s="3">
        <v>46181</v>
      </c>
      <c r="T7" s="2"/>
      <c r="U7" s="2"/>
    </row>
    <row r="8" spans="1:21" x14ac:dyDescent="0.25">
      <c r="A8" s="1" t="s">
        <v>258</v>
      </c>
      <c r="B8" s="2">
        <v>468</v>
      </c>
      <c r="C8" s="2">
        <v>2604</v>
      </c>
      <c r="D8" s="34">
        <f t="shared" si="0"/>
        <v>24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2</v>
      </c>
      <c r="K8" s="2">
        <v>2</v>
      </c>
      <c r="L8" s="2">
        <v>1</v>
      </c>
      <c r="M8" s="2">
        <v>2</v>
      </c>
      <c r="N8" s="2">
        <v>1</v>
      </c>
      <c r="O8" s="2">
        <v>2</v>
      </c>
      <c r="P8" s="2">
        <v>1</v>
      </c>
      <c r="Q8" s="2">
        <v>2</v>
      </c>
      <c r="R8" s="2">
        <v>1</v>
      </c>
      <c r="S8" s="3">
        <v>46181</v>
      </c>
      <c r="T8" s="2"/>
      <c r="U8" s="2"/>
    </row>
    <row r="9" spans="1:21" x14ac:dyDescent="0.25">
      <c r="A9" s="1" t="s">
        <v>258</v>
      </c>
      <c r="B9" s="2">
        <v>469</v>
      </c>
      <c r="C9" s="2">
        <v>2605</v>
      </c>
      <c r="D9" s="34">
        <f t="shared" si="0"/>
        <v>24</v>
      </c>
      <c r="E9" s="2">
        <v>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2</v>
      </c>
      <c r="L9" s="2">
        <v>1</v>
      </c>
      <c r="M9" s="2">
        <v>2</v>
      </c>
      <c r="N9" s="2">
        <v>1</v>
      </c>
      <c r="O9" s="2">
        <v>2</v>
      </c>
      <c r="P9" s="2">
        <v>1</v>
      </c>
      <c r="Q9" s="2">
        <v>2</v>
      </c>
      <c r="R9" s="2">
        <v>1</v>
      </c>
      <c r="S9" s="3">
        <v>46181</v>
      </c>
      <c r="T9" s="2"/>
      <c r="U9" s="2"/>
    </row>
    <row r="10" spans="1:21" x14ac:dyDescent="0.25">
      <c r="A10" s="1" t="s">
        <v>258</v>
      </c>
      <c r="B10" s="2">
        <v>470</v>
      </c>
      <c r="C10" s="2">
        <v>9270</v>
      </c>
      <c r="D10" s="34">
        <f t="shared" si="0"/>
        <v>24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1</v>
      </c>
      <c r="M10" s="2">
        <v>2</v>
      </c>
      <c r="N10" s="2">
        <v>1</v>
      </c>
      <c r="O10" s="2">
        <v>2</v>
      </c>
      <c r="P10" s="2">
        <v>1</v>
      </c>
      <c r="Q10" s="2">
        <v>2</v>
      </c>
      <c r="R10" s="2">
        <v>1</v>
      </c>
      <c r="S10" s="3">
        <v>46181</v>
      </c>
      <c r="T10" s="2"/>
      <c r="U10" s="2"/>
    </row>
    <row r="11" spans="1:21" x14ac:dyDescent="0.25">
      <c r="A11" s="1" t="s">
        <v>259</v>
      </c>
      <c r="B11" s="2">
        <v>471</v>
      </c>
      <c r="C11" s="2">
        <v>9226</v>
      </c>
      <c r="D11" s="34">
        <f t="shared" si="0"/>
        <v>30</v>
      </c>
      <c r="E11" s="2">
        <v>1</v>
      </c>
      <c r="F11" s="2">
        <v>1</v>
      </c>
      <c r="G11" s="2"/>
      <c r="H11" s="2">
        <v>2</v>
      </c>
      <c r="I11" s="2">
        <v>2</v>
      </c>
      <c r="J11" s="2">
        <v>3</v>
      </c>
      <c r="K11" s="2">
        <v>1</v>
      </c>
      <c r="L11" s="2">
        <v>2</v>
      </c>
      <c r="M11" s="2">
        <v>3</v>
      </c>
      <c r="N11" s="2">
        <v>3</v>
      </c>
      <c r="O11" s="2">
        <v>3</v>
      </c>
      <c r="P11" s="2">
        <v>3</v>
      </c>
      <c r="Q11" s="2">
        <v>3</v>
      </c>
      <c r="R11" s="2">
        <v>3</v>
      </c>
      <c r="S11" s="3">
        <v>46181</v>
      </c>
      <c r="T11" s="2"/>
      <c r="U11" s="2"/>
    </row>
    <row r="12" spans="1:21" x14ac:dyDescent="0.25">
      <c r="A12" s="1" t="s">
        <v>259</v>
      </c>
      <c r="B12" s="2">
        <v>472</v>
      </c>
      <c r="C12" s="2">
        <v>9208</v>
      </c>
      <c r="D12" s="34">
        <f t="shared" si="0"/>
        <v>36</v>
      </c>
      <c r="E12" s="2">
        <v>1</v>
      </c>
      <c r="F12" s="2">
        <v>2</v>
      </c>
      <c r="G12" s="2">
        <v>2</v>
      </c>
      <c r="H12" s="2">
        <v>2</v>
      </c>
      <c r="I12" s="2">
        <v>3</v>
      </c>
      <c r="J12" s="2">
        <v>3</v>
      </c>
      <c r="K12" s="2">
        <v>3</v>
      </c>
      <c r="L12" s="2">
        <v>2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3</v>
      </c>
      <c r="S12" s="3">
        <v>46181</v>
      </c>
      <c r="T12" s="2"/>
      <c r="U12" s="2"/>
    </row>
    <row r="13" spans="1:21" x14ac:dyDescent="0.25">
      <c r="A13" s="1" t="s">
        <v>259</v>
      </c>
      <c r="B13" s="2">
        <v>473</v>
      </c>
      <c r="C13" s="2">
        <v>9228</v>
      </c>
      <c r="D13" s="34">
        <f t="shared" si="0"/>
        <v>15</v>
      </c>
      <c r="E13" s="2">
        <v>1</v>
      </c>
      <c r="F13" s="2">
        <v>1</v>
      </c>
      <c r="G13" s="2"/>
      <c r="H13" s="2">
        <v>2</v>
      </c>
      <c r="I13" s="2"/>
      <c r="J13" s="2"/>
      <c r="K13" s="2"/>
      <c r="L13" s="2"/>
      <c r="M13" s="2">
        <v>3</v>
      </c>
      <c r="N13" s="2">
        <v>1</v>
      </c>
      <c r="O13" s="2">
        <v>2</v>
      </c>
      <c r="P13" s="2">
        <v>3</v>
      </c>
      <c r="Q13" s="2">
        <v>1</v>
      </c>
      <c r="R13" s="2">
        <v>1</v>
      </c>
      <c r="S13" s="3">
        <v>46181</v>
      </c>
      <c r="T13" s="2"/>
      <c r="U13" s="2"/>
    </row>
    <row r="14" spans="1:21" x14ac:dyDescent="0.25">
      <c r="A14" s="1" t="s">
        <v>259</v>
      </c>
      <c r="B14" s="2">
        <v>474</v>
      </c>
      <c r="C14" s="2">
        <v>9229</v>
      </c>
      <c r="D14" s="34">
        <f t="shared" si="0"/>
        <v>13</v>
      </c>
      <c r="E14" s="2">
        <v>1</v>
      </c>
      <c r="F14" s="2"/>
      <c r="G14" s="2"/>
      <c r="H14" s="2">
        <v>1</v>
      </c>
      <c r="I14" s="2">
        <v>1</v>
      </c>
      <c r="J14" s="2">
        <v>2</v>
      </c>
      <c r="K14" s="2"/>
      <c r="L14" s="2"/>
      <c r="M14" s="2">
        <v>2</v>
      </c>
      <c r="N14" s="2">
        <v>2</v>
      </c>
      <c r="O14" s="2">
        <v>2</v>
      </c>
      <c r="P14" s="2"/>
      <c r="Q14" s="2">
        <v>1</v>
      </c>
      <c r="R14" s="2">
        <v>1</v>
      </c>
      <c r="S14" s="3">
        <v>46181</v>
      </c>
      <c r="T14" s="2"/>
      <c r="U14" s="2"/>
    </row>
    <row r="15" spans="1:21" x14ac:dyDescent="0.25">
      <c r="A15" s="1" t="s">
        <v>29</v>
      </c>
      <c r="B15" s="2">
        <v>475</v>
      </c>
      <c r="C15" s="2">
        <v>9258</v>
      </c>
      <c r="D15" s="34">
        <f t="shared" si="0"/>
        <v>24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2</v>
      </c>
      <c r="L15" s="2">
        <v>1</v>
      </c>
      <c r="M15" s="2">
        <v>2</v>
      </c>
      <c r="N15" s="2">
        <v>1</v>
      </c>
      <c r="O15" s="2">
        <v>2</v>
      </c>
      <c r="P15" s="2">
        <v>1</v>
      </c>
      <c r="Q15" s="2">
        <v>2</v>
      </c>
      <c r="R15" s="2">
        <v>1</v>
      </c>
      <c r="S15" s="3">
        <v>46181</v>
      </c>
      <c r="T15" s="2"/>
      <c r="U15" s="2"/>
    </row>
    <row r="16" spans="1:21" x14ac:dyDescent="0.25">
      <c r="A16" s="1" t="s">
        <v>29</v>
      </c>
      <c r="B16" s="2">
        <v>476</v>
      </c>
      <c r="C16" s="2">
        <v>9264</v>
      </c>
      <c r="D16" s="34">
        <f t="shared" si="0"/>
        <v>24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  <c r="K16" s="2">
        <v>2</v>
      </c>
      <c r="L16" s="2">
        <v>1</v>
      </c>
      <c r="M16" s="2">
        <v>2</v>
      </c>
      <c r="N16" s="2">
        <v>1</v>
      </c>
      <c r="O16" s="2">
        <v>2</v>
      </c>
      <c r="P16" s="2">
        <v>1</v>
      </c>
      <c r="Q16" s="2">
        <v>2</v>
      </c>
      <c r="R16" s="2">
        <v>1</v>
      </c>
      <c r="S16" s="3">
        <v>46181</v>
      </c>
      <c r="T16" s="2"/>
      <c r="U16" s="2"/>
    </row>
    <row r="17" spans="1:21" x14ac:dyDescent="0.25">
      <c r="A17" s="1" t="s">
        <v>29</v>
      </c>
      <c r="B17" s="2">
        <v>477</v>
      </c>
      <c r="C17" s="2">
        <v>9269</v>
      </c>
      <c r="D17" s="34">
        <f t="shared" si="0"/>
        <v>24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1</v>
      </c>
      <c r="M17" s="2">
        <v>2</v>
      </c>
      <c r="N17" s="2">
        <v>1</v>
      </c>
      <c r="O17" s="2">
        <v>2</v>
      </c>
      <c r="P17" s="2">
        <v>1</v>
      </c>
      <c r="Q17" s="2">
        <v>2</v>
      </c>
      <c r="R17" s="2">
        <v>1</v>
      </c>
      <c r="S17" s="3">
        <v>46181</v>
      </c>
      <c r="T17" s="2"/>
      <c r="U17" s="2"/>
    </row>
    <row r="18" spans="1:21" x14ac:dyDescent="0.25">
      <c r="A18" s="1" t="s">
        <v>29</v>
      </c>
      <c r="B18" s="2">
        <v>478</v>
      </c>
      <c r="C18" s="2">
        <v>2603</v>
      </c>
      <c r="D18" s="34">
        <f t="shared" si="0"/>
        <v>24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2">
        <v>1</v>
      </c>
      <c r="M18" s="2">
        <v>2</v>
      </c>
      <c r="N18" s="2">
        <v>1</v>
      </c>
      <c r="O18" s="2">
        <v>2</v>
      </c>
      <c r="P18" s="2">
        <v>1</v>
      </c>
      <c r="Q18" s="2">
        <v>2</v>
      </c>
      <c r="R18" s="2">
        <v>1</v>
      </c>
      <c r="S18" s="3">
        <v>46181</v>
      </c>
      <c r="T18" s="2"/>
      <c r="U18" s="2"/>
    </row>
    <row r="19" spans="1:21" x14ac:dyDescent="0.25">
      <c r="A19" s="1" t="s">
        <v>29</v>
      </c>
      <c r="B19" s="2">
        <v>479</v>
      </c>
      <c r="C19" s="2">
        <v>9270</v>
      </c>
      <c r="D19" s="34">
        <f t="shared" si="0"/>
        <v>24</v>
      </c>
      <c r="E19" s="2">
        <v>2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>
        <v>1</v>
      </c>
      <c r="M19" s="2">
        <v>2</v>
      </c>
      <c r="N19" s="2">
        <v>1</v>
      </c>
      <c r="O19" s="2">
        <v>2</v>
      </c>
      <c r="P19" s="2">
        <v>1</v>
      </c>
      <c r="Q19" s="2">
        <v>2</v>
      </c>
      <c r="R19" s="2">
        <v>1</v>
      </c>
      <c r="S19" s="3">
        <v>46181</v>
      </c>
      <c r="T19" s="2"/>
      <c r="U19" s="2"/>
    </row>
    <row r="20" spans="1:21" x14ac:dyDescent="0.25">
      <c r="A20" s="1" t="s">
        <v>29</v>
      </c>
      <c r="B20" s="2">
        <v>480</v>
      </c>
      <c r="C20" s="2">
        <v>9262</v>
      </c>
      <c r="D20" s="34">
        <f t="shared" si="0"/>
        <v>24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1</v>
      </c>
      <c r="M20" s="2">
        <v>2</v>
      </c>
      <c r="N20" s="2">
        <v>1</v>
      </c>
      <c r="O20" s="2">
        <v>2</v>
      </c>
      <c r="P20" s="2">
        <v>1</v>
      </c>
      <c r="Q20" s="2">
        <v>2</v>
      </c>
      <c r="R20" s="2">
        <v>1</v>
      </c>
      <c r="S20" s="3">
        <v>46181</v>
      </c>
      <c r="T20" s="2"/>
      <c r="U20" s="2"/>
    </row>
    <row r="21" spans="1:21" x14ac:dyDescent="0.25">
      <c r="A21" s="1" t="s">
        <v>29</v>
      </c>
      <c r="B21" s="2">
        <v>481</v>
      </c>
      <c r="C21" s="2">
        <v>2601</v>
      </c>
      <c r="D21" s="34">
        <f t="shared" si="0"/>
        <v>24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1</v>
      </c>
      <c r="M21" s="2">
        <v>2</v>
      </c>
      <c r="N21" s="2">
        <v>1</v>
      </c>
      <c r="O21" s="2">
        <v>2</v>
      </c>
      <c r="P21" s="2">
        <v>1</v>
      </c>
      <c r="Q21" s="2">
        <v>2</v>
      </c>
      <c r="R21" s="2">
        <v>1</v>
      </c>
      <c r="S21" s="3">
        <v>46181</v>
      </c>
      <c r="T21" s="2"/>
      <c r="U21" s="2"/>
    </row>
    <row r="22" spans="1:21" x14ac:dyDescent="0.25">
      <c r="A22" s="1" t="s">
        <v>29</v>
      </c>
      <c r="B22" s="2">
        <v>482</v>
      </c>
      <c r="C22" s="2">
        <v>2602</v>
      </c>
      <c r="D22" s="34">
        <f t="shared" ref="D22:D31" si="1">SUM(E22:R22)</f>
        <v>24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1</v>
      </c>
      <c r="M22" s="2">
        <v>2</v>
      </c>
      <c r="N22" s="2">
        <v>1</v>
      </c>
      <c r="O22" s="2">
        <v>2</v>
      </c>
      <c r="P22" s="2">
        <v>1</v>
      </c>
      <c r="Q22" s="2">
        <v>2</v>
      </c>
      <c r="R22" s="2">
        <v>1</v>
      </c>
      <c r="S22" s="3">
        <v>46181</v>
      </c>
      <c r="T22" s="2"/>
      <c r="U22" s="2"/>
    </row>
    <row r="23" spans="1:21" x14ac:dyDescent="0.25">
      <c r="A23" s="1" t="s">
        <v>29</v>
      </c>
      <c r="B23" s="2">
        <v>483</v>
      </c>
      <c r="C23" s="2">
        <v>9271</v>
      </c>
      <c r="D23" s="34">
        <f t="shared" si="1"/>
        <v>24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1</v>
      </c>
      <c r="M23" s="2">
        <v>2</v>
      </c>
      <c r="N23" s="2">
        <v>1</v>
      </c>
      <c r="O23" s="2">
        <v>2</v>
      </c>
      <c r="P23" s="2">
        <v>1</v>
      </c>
      <c r="Q23" s="2">
        <v>2</v>
      </c>
      <c r="R23" s="2">
        <v>1</v>
      </c>
      <c r="S23" s="3">
        <v>46181</v>
      </c>
      <c r="T23" s="2"/>
      <c r="U23" s="2"/>
    </row>
    <row r="24" spans="1:21" x14ac:dyDescent="0.25">
      <c r="A24" s="1" t="s">
        <v>29</v>
      </c>
      <c r="B24" s="2">
        <v>484</v>
      </c>
      <c r="C24" s="2">
        <v>9272</v>
      </c>
      <c r="D24" s="34">
        <f t="shared" si="1"/>
        <v>24</v>
      </c>
      <c r="E24" s="2">
        <v>2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>
        <v>2</v>
      </c>
      <c r="L24" s="2">
        <v>1</v>
      </c>
      <c r="M24" s="2">
        <v>2</v>
      </c>
      <c r="N24" s="2">
        <v>1</v>
      </c>
      <c r="O24" s="2">
        <v>2</v>
      </c>
      <c r="P24" s="2">
        <v>1</v>
      </c>
      <c r="Q24" s="2">
        <v>2</v>
      </c>
      <c r="R24" s="2">
        <v>1</v>
      </c>
      <c r="S24" s="3">
        <v>46181</v>
      </c>
      <c r="T24" s="2"/>
      <c r="U24" s="2"/>
    </row>
    <row r="25" spans="1:21" x14ac:dyDescent="0.25">
      <c r="A25" s="1" t="s">
        <v>28</v>
      </c>
      <c r="B25" s="2">
        <v>485</v>
      </c>
      <c r="C25" s="2">
        <v>9202</v>
      </c>
      <c r="D25" s="34">
        <f t="shared" si="1"/>
        <v>24</v>
      </c>
      <c r="E25" s="2">
        <v>2</v>
      </c>
      <c r="F25" s="2">
        <v>2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1</v>
      </c>
      <c r="M25" s="2">
        <v>2</v>
      </c>
      <c r="N25" s="2">
        <v>1</v>
      </c>
      <c r="O25" s="2">
        <v>2</v>
      </c>
      <c r="P25" s="2">
        <v>1</v>
      </c>
      <c r="Q25" s="2">
        <v>2</v>
      </c>
      <c r="R25" s="2">
        <v>1</v>
      </c>
      <c r="S25" s="3">
        <v>46181</v>
      </c>
      <c r="T25" s="2"/>
      <c r="U25" s="2"/>
    </row>
    <row r="26" spans="1:21" x14ac:dyDescent="0.25">
      <c r="A26" s="1" t="s">
        <v>28</v>
      </c>
      <c r="B26" s="2">
        <v>486</v>
      </c>
      <c r="C26" s="2">
        <v>9208</v>
      </c>
      <c r="D26" s="34">
        <f t="shared" si="1"/>
        <v>24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1</v>
      </c>
      <c r="M26" s="2">
        <v>2</v>
      </c>
      <c r="N26" s="2">
        <v>1</v>
      </c>
      <c r="O26" s="2">
        <v>2</v>
      </c>
      <c r="P26" s="2">
        <v>1</v>
      </c>
      <c r="Q26" s="2">
        <v>2</v>
      </c>
      <c r="R26" s="2">
        <v>1</v>
      </c>
      <c r="S26" s="3">
        <v>46181</v>
      </c>
      <c r="T26" s="2"/>
      <c r="U26" s="2"/>
    </row>
    <row r="27" spans="1:21" x14ac:dyDescent="0.25">
      <c r="A27" s="1" t="s">
        <v>28</v>
      </c>
      <c r="B27" s="2">
        <v>487</v>
      </c>
      <c r="C27" s="2">
        <v>9213</v>
      </c>
      <c r="D27" s="34">
        <f t="shared" si="1"/>
        <v>24</v>
      </c>
      <c r="E27" s="2">
        <v>2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1</v>
      </c>
      <c r="M27" s="2">
        <v>2</v>
      </c>
      <c r="N27" s="2">
        <v>1</v>
      </c>
      <c r="O27" s="2">
        <v>2</v>
      </c>
      <c r="P27" s="2">
        <v>1</v>
      </c>
      <c r="Q27" s="2">
        <v>2</v>
      </c>
      <c r="R27" s="2">
        <v>1</v>
      </c>
      <c r="S27" s="3">
        <v>46181</v>
      </c>
      <c r="T27" s="2"/>
      <c r="U27" s="2"/>
    </row>
    <row r="28" spans="1:21" x14ac:dyDescent="0.25">
      <c r="A28" s="1" t="s">
        <v>28</v>
      </c>
      <c r="B28" s="2">
        <v>488</v>
      </c>
      <c r="C28" s="2">
        <v>9213</v>
      </c>
      <c r="D28" s="34">
        <f t="shared" si="1"/>
        <v>24</v>
      </c>
      <c r="E28" s="2">
        <v>2</v>
      </c>
      <c r="F28" s="2">
        <v>2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2">
        <v>1</v>
      </c>
      <c r="M28" s="2">
        <v>2</v>
      </c>
      <c r="N28" s="2">
        <v>1</v>
      </c>
      <c r="O28" s="2">
        <v>2</v>
      </c>
      <c r="P28" s="2">
        <v>1</v>
      </c>
      <c r="Q28" s="2">
        <v>2</v>
      </c>
      <c r="R28" s="2">
        <v>1</v>
      </c>
      <c r="S28" s="3">
        <v>46181</v>
      </c>
      <c r="T28" s="2"/>
      <c r="U28" s="2"/>
    </row>
    <row r="29" spans="1:21" x14ac:dyDescent="0.25">
      <c r="A29" s="1" t="s">
        <v>28</v>
      </c>
      <c r="B29" s="2">
        <v>489</v>
      </c>
      <c r="C29" s="2">
        <v>9231</v>
      </c>
      <c r="D29" s="34">
        <f t="shared" si="1"/>
        <v>24</v>
      </c>
      <c r="E29" s="2">
        <v>2</v>
      </c>
      <c r="F29" s="2">
        <v>2</v>
      </c>
      <c r="G29" s="2">
        <v>2</v>
      </c>
      <c r="H29" s="2">
        <v>2</v>
      </c>
      <c r="I29" s="2">
        <v>2</v>
      </c>
      <c r="J29" s="2">
        <v>2</v>
      </c>
      <c r="K29" s="2">
        <v>2</v>
      </c>
      <c r="L29" s="2">
        <v>1</v>
      </c>
      <c r="M29" s="2">
        <v>2</v>
      </c>
      <c r="N29" s="2">
        <v>1</v>
      </c>
      <c r="O29" s="2">
        <v>2</v>
      </c>
      <c r="P29" s="2">
        <v>1</v>
      </c>
      <c r="Q29" s="2">
        <v>2</v>
      </c>
      <c r="R29" s="2">
        <v>1</v>
      </c>
      <c r="S29" s="3">
        <v>46181</v>
      </c>
      <c r="T29" s="2"/>
      <c r="U29" s="2"/>
    </row>
    <row r="30" spans="1:21" x14ac:dyDescent="0.25">
      <c r="A30" s="1" t="s">
        <v>28</v>
      </c>
      <c r="B30" s="2">
        <v>490</v>
      </c>
      <c r="C30" s="2">
        <v>9231</v>
      </c>
      <c r="D30" s="34">
        <f t="shared" si="1"/>
        <v>24</v>
      </c>
      <c r="E30" s="2">
        <v>2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>
        <v>2</v>
      </c>
      <c r="L30" s="2">
        <v>1</v>
      </c>
      <c r="M30" s="2">
        <v>2</v>
      </c>
      <c r="N30" s="2">
        <v>1</v>
      </c>
      <c r="O30" s="2">
        <v>2</v>
      </c>
      <c r="P30" s="2">
        <v>1</v>
      </c>
      <c r="Q30" s="2">
        <v>2</v>
      </c>
      <c r="R30" s="2">
        <v>1</v>
      </c>
      <c r="S30" s="3">
        <v>46181</v>
      </c>
      <c r="T30" s="2"/>
      <c r="U30" s="2"/>
    </row>
    <row r="31" spans="1:21" x14ac:dyDescent="0.25">
      <c r="A31" s="1" t="s">
        <v>28</v>
      </c>
      <c r="B31" s="2">
        <v>491</v>
      </c>
      <c r="C31" s="2">
        <v>9232</v>
      </c>
      <c r="D31" s="34">
        <f t="shared" si="1"/>
        <v>24</v>
      </c>
      <c r="E31" s="2">
        <v>2</v>
      </c>
      <c r="F31" s="2">
        <v>2</v>
      </c>
      <c r="G31" s="2">
        <v>2</v>
      </c>
      <c r="H31" s="2">
        <v>2</v>
      </c>
      <c r="I31" s="2">
        <v>2</v>
      </c>
      <c r="J31" s="2">
        <v>2</v>
      </c>
      <c r="K31" s="2">
        <v>2</v>
      </c>
      <c r="L31" s="2">
        <v>1</v>
      </c>
      <c r="M31" s="2">
        <v>2</v>
      </c>
      <c r="N31" s="2">
        <v>1</v>
      </c>
      <c r="O31" s="2">
        <v>2</v>
      </c>
      <c r="P31" s="2">
        <v>1</v>
      </c>
      <c r="Q31" s="2">
        <v>2</v>
      </c>
      <c r="R31" s="2">
        <v>1</v>
      </c>
      <c r="S31" s="3">
        <v>46181</v>
      </c>
      <c r="T31" s="2"/>
      <c r="U31" s="2"/>
    </row>
    <row r="32" spans="1:21" x14ac:dyDescent="0.25">
      <c r="A32" s="1" t="s">
        <v>28</v>
      </c>
      <c r="B32" s="2">
        <v>492</v>
      </c>
      <c r="C32" s="2">
        <v>9238</v>
      </c>
      <c r="D32" s="34">
        <f t="shared" ref="D32:D46" si="2">SUM(E32:R32)</f>
        <v>24</v>
      </c>
      <c r="E32" s="2">
        <v>2</v>
      </c>
      <c r="F32" s="2">
        <v>2</v>
      </c>
      <c r="G32" s="2">
        <v>2</v>
      </c>
      <c r="H32" s="2">
        <v>2</v>
      </c>
      <c r="I32" s="2">
        <v>2</v>
      </c>
      <c r="J32" s="2">
        <v>2</v>
      </c>
      <c r="K32" s="2">
        <v>2</v>
      </c>
      <c r="L32" s="2">
        <v>1</v>
      </c>
      <c r="M32" s="2">
        <v>2</v>
      </c>
      <c r="N32" s="2">
        <v>1</v>
      </c>
      <c r="O32" s="2">
        <v>2</v>
      </c>
      <c r="P32" s="2">
        <v>1</v>
      </c>
      <c r="Q32" s="2">
        <v>2</v>
      </c>
      <c r="R32" s="2">
        <v>1</v>
      </c>
      <c r="S32" s="3">
        <v>46181</v>
      </c>
      <c r="T32" s="2"/>
      <c r="U32" s="2"/>
    </row>
    <row r="33" spans="1:21" x14ac:dyDescent="0.25">
      <c r="A33" s="1" t="s">
        <v>28</v>
      </c>
      <c r="B33" s="2">
        <v>493</v>
      </c>
      <c r="C33" s="2">
        <v>9245</v>
      </c>
      <c r="D33" s="34">
        <f t="shared" si="2"/>
        <v>24</v>
      </c>
      <c r="E33" s="2">
        <v>2</v>
      </c>
      <c r="F33" s="2">
        <v>2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1</v>
      </c>
      <c r="M33" s="2">
        <v>2</v>
      </c>
      <c r="N33" s="2">
        <v>1</v>
      </c>
      <c r="O33" s="2">
        <v>2</v>
      </c>
      <c r="P33" s="2">
        <v>1</v>
      </c>
      <c r="Q33" s="2">
        <v>2</v>
      </c>
      <c r="R33" s="2">
        <v>1</v>
      </c>
      <c r="S33" s="3">
        <v>46181</v>
      </c>
      <c r="T33" s="2"/>
      <c r="U33" s="2"/>
    </row>
    <row r="34" spans="1:21" x14ac:dyDescent="0.25">
      <c r="A34" s="1" t="s">
        <v>28</v>
      </c>
      <c r="B34" s="2">
        <v>494</v>
      </c>
      <c r="C34" s="2">
        <v>9245</v>
      </c>
      <c r="D34" s="34">
        <f t="shared" si="2"/>
        <v>24</v>
      </c>
      <c r="E34" s="2">
        <v>2</v>
      </c>
      <c r="F34" s="2">
        <v>2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1</v>
      </c>
      <c r="M34" s="2">
        <v>2</v>
      </c>
      <c r="N34" s="2">
        <v>1</v>
      </c>
      <c r="O34" s="2">
        <v>2</v>
      </c>
      <c r="P34" s="2">
        <v>1</v>
      </c>
      <c r="Q34" s="2">
        <v>2</v>
      </c>
      <c r="R34" s="2">
        <v>1</v>
      </c>
      <c r="S34" s="3">
        <v>46181</v>
      </c>
      <c r="T34" s="2"/>
      <c r="U34" s="2"/>
    </row>
    <row r="35" spans="1:21" x14ac:dyDescent="0.25">
      <c r="A35" s="1" t="s">
        <v>28</v>
      </c>
      <c r="B35" s="2">
        <v>495</v>
      </c>
      <c r="C35" s="2">
        <v>9248</v>
      </c>
      <c r="D35" s="34">
        <f t="shared" si="2"/>
        <v>24</v>
      </c>
      <c r="E35" s="2">
        <v>2</v>
      </c>
      <c r="F35" s="2">
        <v>2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1</v>
      </c>
      <c r="M35" s="2">
        <v>2</v>
      </c>
      <c r="N35" s="2">
        <v>1</v>
      </c>
      <c r="O35" s="2">
        <v>2</v>
      </c>
      <c r="P35" s="2">
        <v>1</v>
      </c>
      <c r="Q35" s="2">
        <v>2</v>
      </c>
      <c r="R35" s="2">
        <v>1</v>
      </c>
      <c r="S35" s="3">
        <v>46181</v>
      </c>
      <c r="T35" s="2"/>
      <c r="U35" s="2"/>
    </row>
    <row r="36" spans="1:21" x14ac:dyDescent="0.25">
      <c r="A36" s="1" t="s">
        <v>28</v>
      </c>
      <c r="B36" s="2">
        <v>496</v>
      </c>
      <c r="C36" s="2">
        <v>2601</v>
      </c>
      <c r="D36" s="34">
        <f t="shared" si="2"/>
        <v>24</v>
      </c>
      <c r="E36" s="2">
        <v>2</v>
      </c>
      <c r="F36" s="2">
        <v>2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1</v>
      </c>
      <c r="M36" s="2">
        <v>2</v>
      </c>
      <c r="N36" s="2">
        <v>1</v>
      </c>
      <c r="O36" s="2">
        <v>2</v>
      </c>
      <c r="P36" s="2">
        <v>1</v>
      </c>
      <c r="Q36" s="2">
        <v>2</v>
      </c>
      <c r="R36" s="2">
        <v>1</v>
      </c>
      <c r="S36" s="3">
        <v>46181</v>
      </c>
      <c r="T36" s="2"/>
      <c r="U36" s="2"/>
    </row>
    <row r="37" spans="1:21" x14ac:dyDescent="0.25">
      <c r="A37" s="1" t="s">
        <v>28</v>
      </c>
      <c r="B37" s="2">
        <v>497</v>
      </c>
      <c r="C37" s="2">
        <v>2602</v>
      </c>
      <c r="D37" s="34">
        <f t="shared" si="2"/>
        <v>24</v>
      </c>
      <c r="E37" s="2">
        <v>2</v>
      </c>
      <c r="F37" s="2">
        <v>2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1</v>
      </c>
      <c r="M37" s="2">
        <v>2</v>
      </c>
      <c r="N37" s="2">
        <v>1</v>
      </c>
      <c r="O37" s="2">
        <v>2</v>
      </c>
      <c r="P37" s="2">
        <v>1</v>
      </c>
      <c r="Q37" s="2">
        <v>2</v>
      </c>
      <c r="R37" s="2">
        <v>1</v>
      </c>
      <c r="S37" s="3">
        <v>46181</v>
      </c>
      <c r="T37" s="2"/>
      <c r="U37" s="2"/>
    </row>
    <row r="38" spans="1:21" x14ac:dyDescent="0.25">
      <c r="A38" s="1" t="s">
        <v>28</v>
      </c>
      <c r="B38" s="2">
        <v>498</v>
      </c>
      <c r="C38" s="2">
        <v>9270</v>
      </c>
      <c r="D38" s="34">
        <f t="shared" si="2"/>
        <v>24</v>
      </c>
      <c r="E38" s="2">
        <v>2</v>
      </c>
      <c r="F38" s="2">
        <v>2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1</v>
      </c>
      <c r="M38" s="2">
        <v>2</v>
      </c>
      <c r="N38" s="2">
        <v>1</v>
      </c>
      <c r="O38" s="2">
        <v>2</v>
      </c>
      <c r="P38" s="2">
        <v>1</v>
      </c>
      <c r="Q38" s="2">
        <v>2</v>
      </c>
      <c r="R38" s="2">
        <v>1</v>
      </c>
      <c r="S38" s="3">
        <v>46181</v>
      </c>
      <c r="T38" s="2"/>
      <c r="U38" s="2"/>
    </row>
    <row r="39" spans="1:21" x14ac:dyDescent="0.25">
      <c r="A39" s="1" t="s">
        <v>28</v>
      </c>
      <c r="B39" s="2">
        <v>499</v>
      </c>
      <c r="C39" s="2">
        <v>9272</v>
      </c>
      <c r="D39" s="34">
        <f t="shared" si="2"/>
        <v>24</v>
      </c>
      <c r="E39" s="2">
        <v>2</v>
      </c>
      <c r="F39" s="2">
        <v>2</v>
      </c>
      <c r="G39" s="2">
        <v>2</v>
      </c>
      <c r="H39" s="2">
        <v>2</v>
      </c>
      <c r="I39" s="2">
        <v>2</v>
      </c>
      <c r="J39" s="2">
        <v>2</v>
      </c>
      <c r="K39" s="2">
        <v>2</v>
      </c>
      <c r="L39" s="2">
        <v>1</v>
      </c>
      <c r="M39" s="2">
        <v>2</v>
      </c>
      <c r="N39" s="2">
        <v>1</v>
      </c>
      <c r="O39" s="2">
        <v>2</v>
      </c>
      <c r="P39" s="2">
        <v>1</v>
      </c>
      <c r="Q39" s="2">
        <v>2</v>
      </c>
      <c r="R39" s="2">
        <v>1</v>
      </c>
      <c r="S39" s="3">
        <v>46181</v>
      </c>
      <c r="T39" s="2"/>
      <c r="U39" s="2"/>
    </row>
    <row r="40" spans="1:21" x14ac:dyDescent="0.25">
      <c r="A40" s="1" t="s">
        <v>33</v>
      </c>
      <c r="B40" s="2">
        <v>500</v>
      </c>
      <c r="C40" s="2">
        <v>9225</v>
      </c>
      <c r="D40" s="34">
        <f t="shared" si="2"/>
        <v>60</v>
      </c>
      <c r="E40" s="2">
        <v>2</v>
      </c>
      <c r="F40" s="2">
        <v>2</v>
      </c>
      <c r="G40" s="2">
        <v>2</v>
      </c>
      <c r="H40" s="2">
        <v>2</v>
      </c>
      <c r="I40" s="2">
        <v>2</v>
      </c>
      <c r="J40" s="2">
        <v>2</v>
      </c>
      <c r="K40" s="2">
        <v>8</v>
      </c>
      <c r="L40" s="2">
        <v>4</v>
      </c>
      <c r="M40" s="2">
        <v>8</v>
      </c>
      <c r="N40" s="2">
        <v>4</v>
      </c>
      <c r="O40" s="2">
        <v>8</v>
      </c>
      <c r="P40" s="2">
        <v>4</v>
      </c>
      <c r="Q40" s="2">
        <v>8</v>
      </c>
      <c r="R40" s="2">
        <v>4</v>
      </c>
      <c r="S40" s="3">
        <v>46181</v>
      </c>
      <c r="T40" s="2"/>
      <c r="U40" s="2"/>
    </row>
    <row r="41" spans="1:21" x14ac:dyDescent="0.25">
      <c r="A41" s="1" t="s">
        <v>33</v>
      </c>
      <c r="B41" s="2">
        <v>501</v>
      </c>
      <c r="C41" s="2">
        <v>9231</v>
      </c>
      <c r="D41" s="34">
        <f t="shared" si="2"/>
        <v>60</v>
      </c>
      <c r="E41" s="2">
        <v>2</v>
      </c>
      <c r="F41" s="2">
        <v>2</v>
      </c>
      <c r="G41" s="2">
        <v>2</v>
      </c>
      <c r="H41" s="2">
        <v>2</v>
      </c>
      <c r="I41" s="2">
        <v>2</v>
      </c>
      <c r="J41" s="2">
        <v>2</v>
      </c>
      <c r="K41" s="2">
        <v>8</v>
      </c>
      <c r="L41" s="2">
        <v>4</v>
      </c>
      <c r="M41" s="2">
        <v>8</v>
      </c>
      <c r="N41" s="2">
        <v>4</v>
      </c>
      <c r="O41" s="2">
        <v>8</v>
      </c>
      <c r="P41" s="2">
        <v>4</v>
      </c>
      <c r="Q41" s="2">
        <v>8</v>
      </c>
      <c r="R41" s="2">
        <v>4</v>
      </c>
      <c r="S41" s="3">
        <v>46181</v>
      </c>
      <c r="T41" s="2"/>
      <c r="U41" s="2"/>
    </row>
    <row r="42" spans="1:21" x14ac:dyDescent="0.25">
      <c r="A42" s="1" t="s">
        <v>33</v>
      </c>
      <c r="B42" s="2">
        <v>502</v>
      </c>
      <c r="C42" s="2">
        <v>9231</v>
      </c>
      <c r="D42" s="34">
        <f t="shared" si="2"/>
        <v>60</v>
      </c>
      <c r="E42" s="2">
        <v>2</v>
      </c>
      <c r="F42" s="2">
        <v>2</v>
      </c>
      <c r="G42" s="2">
        <v>2</v>
      </c>
      <c r="H42" s="2">
        <v>2</v>
      </c>
      <c r="I42" s="2">
        <v>2</v>
      </c>
      <c r="J42" s="2">
        <v>2</v>
      </c>
      <c r="K42" s="2">
        <v>8</v>
      </c>
      <c r="L42" s="2">
        <v>4</v>
      </c>
      <c r="M42" s="2">
        <v>8</v>
      </c>
      <c r="N42" s="2">
        <v>4</v>
      </c>
      <c r="O42" s="2">
        <v>8</v>
      </c>
      <c r="P42" s="2">
        <v>4</v>
      </c>
      <c r="Q42" s="2">
        <v>8</v>
      </c>
      <c r="R42" s="2">
        <v>4</v>
      </c>
      <c r="S42" s="3">
        <v>46181</v>
      </c>
      <c r="T42" s="2"/>
      <c r="U42" s="2"/>
    </row>
    <row r="43" spans="1:21" x14ac:dyDescent="0.25">
      <c r="A43" s="1" t="s">
        <v>33</v>
      </c>
      <c r="B43" s="2">
        <v>503</v>
      </c>
      <c r="C43" s="2">
        <v>9262</v>
      </c>
      <c r="D43" s="34">
        <f t="shared" si="2"/>
        <v>60</v>
      </c>
      <c r="E43" s="2">
        <v>2</v>
      </c>
      <c r="F43" s="2">
        <v>2</v>
      </c>
      <c r="G43" s="2">
        <v>2</v>
      </c>
      <c r="H43" s="2">
        <v>2</v>
      </c>
      <c r="I43" s="2">
        <v>2</v>
      </c>
      <c r="J43" s="2">
        <v>2</v>
      </c>
      <c r="K43" s="2">
        <v>8</v>
      </c>
      <c r="L43" s="2">
        <v>4</v>
      </c>
      <c r="M43" s="2">
        <v>8</v>
      </c>
      <c r="N43" s="2">
        <v>4</v>
      </c>
      <c r="O43" s="2">
        <v>8</v>
      </c>
      <c r="P43" s="2">
        <v>4</v>
      </c>
      <c r="Q43" s="2">
        <v>8</v>
      </c>
      <c r="R43" s="2">
        <v>4</v>
      </c>
      <c r="S43" s="3">
        <v>46181</v>
      </c>
      <c r="T43" s="2"/>
      <c r="U43" s="2"/>
    </row>
    <row r="44" spans="1:21" x14ac:dyDescent="0.25">
      <c r="A44" s="1" t="s">
        <v>33</v>
      </c>
      <c r="B44" s="2">
        <v>504</v>
      </c>
      <c r="C44" s="2">
        <v>9266</v>
      </c>
      <c r="D44" s="34">
        <f t="shared" si="2"/>
        <v>60</v>
      </c>
      <c r="E44" s="2">
        <v>2</v>
      </c>
      <c r="F44" s="2">
        <v>2</v>
      </c>
      <c r="G44" s="2">
        <v>2</v>
      </c>
      <c r="H44" s="2">
        <v>2</v>
      </c>
      <c r="I44" s="2">
        <v>2</v>
      </c>
      <c r="J44" s="2">
        <v>2</v>
      </c>
      <c r="K44" s="2">
        <v>8</v>
      </c>
      <c r="L44" s="2">
        <v>4</v>
      </c>
      <c r="M44" s="2">
        <v>8</v>
      </c>
      <c r="N44" s="2">
        <v>4</v>
      </c>
      <c r="O44" s="2">
        <v>8</v>
      </c>
      <c r="P44" s="2">
        <v>4</v>
      </c>
      <c r="Q44" s="2">
        <v>8</v>
      </c>
      <c r="R44" s="2">
        <v>4</v>
      </c>
      <c r="S44" s="3">
        <v>46181</v>
      </c>
      <c r="T44" s="2"/>
      <c r="U44" s="2"/>
    </row>
    <row r="45" spans="1:21" x14ac:dyDescent="0.25">
      <c r="A45" s="1" t="s">
        <v>33</v>
      </c>
      <c r="B45" s="2">
        <v>505</v>
      </c>
      <c r="C45" s="2">
        <v>2601</v>
      </c>
      <c r="D45" s="34">
        <f t="shared" si="2"/>
        <v>60</v>
      </c>
      <c r="E45" s="2">
        <v>2</v>
      </c>
      <c r="F45" s="2">
        <v>2</v>
      </c>
      <c r="G45" s="2">
        <v>2</v>
      </c>
      <c r="H45" s="2">
        <v>2</v>
      </c>
      <c r="I45" s="2">
        <v>2</v>
      </c>
      <c r="J45" s="2">
        <v>2</v>
      </c>
      <c r="K45" s="2">
        <v>8</v>
      </c>
      <c r="L45" s="2">
        <v>4</v>
      </c>
      <c r="M45" s="2">
        <v>8</v>
      </c>
      <c r="N45" s="2">
        <v>4</v>
      </c>
      <c r="O45" s="2">
        <v>8</v>
      </c>
      <c r="P45" s="2">
        <v>4</v>
      </c>
      <c r="Q45" s="2">
        <v>8</v>
      </c>
      <c r="R45" s="2">
        <v>4</v>
      </c>
      <c r="S45" s="3">
        <v>46181</v>
      </c>
      <c r="T45" s="2"/>
      <c r="U45" s="2"/>
    </row>
    <row r="46" spans="1:21" x14ac:dyDescent="0.25">
      <c r="A46" s="1" t="s">
        <v>33</v>
      </c>
      <c r="B46" s="2">
        <v>506</v>
      </c>
      <c r="C46" s="2">
        <v>9272</v>
      </c>
      <c r="D46" s="34">
        <f t="shared" si="2"/>
        <v>60</v>
      </c>
      <c r="E46" s="2">
        <v>2</v>
      </c>
      <c r="F46" s="2">
        <v>2</v>
      </c>
      <c r="G46" s="2">
        <v>2</v>
      </c>
      <c r="H46" s="2">
        <v>2</v>
      </c>
      <c r="I46" s="2">
        <v>2</v>
      </c>
      <c r="J46" s="2">
        <v>2</v>
      </c>
      <c r="K46" s="2">
        <v>8</v>
      </c>
      <c r="L46" s="2">
        <v>4</v>
      </c>
      <c r="M46" s="2">
        <v>8</v>
      </c>
      <c r="N46" s="2">
        <v>4</v>
      </c>
      <c r="O46" s="2">
        <v>8</v>
      </c>
      <c r="P46" s="2">
        <v>4</v>
      </c>
      <c r="Q46" s="2">
        <v>8</v>
      </c>
      <c r="R46" s="2">
        <v>4</v>
      </c>
      <c r="S46" s="3">
        <v>46181</v>
      </c>
      <c r="T46" s="2"/>
      <c r="U46" s="2"/>
    </row>
    <row r="47" spans="1:21" x14ac:dyDescent="0.25">
      <c r="A47" s="1" t="s">
        <v>33</v>
      </c>
      <c r="B47" s="2">
        <v>507</v>
      </c>
      <c r="C47" s="2">
        <v>9264</v>
      </c>
      <c r="D47" s="34">
        <f t="shared" ref="D47:D50" si="3">SUM(E47:R47)</f>
        <v>60</v>
      </c>
      <c r="E47" s="2">
        <v>2</v>
      </c>
      <c r="F47" s="2">
        <v>2</v>
      </c>
      <c r="G47" s="2">
        <v>2</v>
      </c>
      <c r="H47" s="2">
        <v>2</v>
      </c>
      <c r="I47" s="2">
        <v>2</v>
      </c>
      <c r="J47" s="2">
        <v>2</v>
      </c>
      <c r="K47" s="2">
        <v>8</v>
      </c>
      <c r="L47" s="2">
        <v>4</v>
      </c>
      <c r="M47" s="2">
        <v>8</v>
      </c>
      <c r="N47" s="2">
        <v>4</v>
      </c>
      <c r="O47" s="2">
        <v>8</v>
      </c>
      <c r="P47" s="2">
        <v>4</v>
      </c>
      <c r="Q47" s="2">
        <v>8</v>
      </c>
      <c r="R47" s="2">
        <v>4</v>
      </c>
      <c r="S47" s="3">
        <v>46181</v>
      </c>
      <c r="T47" s="2"/>
      <c r="U47" s="2"/>
    </row>
    <row r="48" spans="1:21" x14ac:dyDescent="0.25">
      <c r="A48" s="1" t="s">
        <v>33</v>
      </c>
      <c r="B48" s="2">
        <v>508</v>
      </c>
      <c r="C48" s="2">
        <v>9264</v>
      </c>
      <c r="D48" s="34">
        <f t="shared" si="3"/>
        <v>60</v>
      </c>
      <c r="E48" s="2">
        <v>2</v>
      </c>
      <c r="F48" s="2">
        <v>2</v>
      </c>
      <c r="G48" s="2">
        <v>2</v>
      </c>
      <c r="H48" s="2">
        <v>2</v>
      </c>
      <c r="I48" s="2">
        <v>2</v>
      </c>
      <c r="J48" s="2">
        <v>2</v>
      </c>
      <c r="K48" s="2">
        <v>8</v>
      </c>
      <c r="L48" s="2">
        <v>4</v>
      </c>
      <c r="M48" s="2">
        <v>8</v>
      </c>
      <c r="N48" s="2">
        <v>4</v>
      </c>
      <c r="O48" s="2">
        <v>8</v>
      </c>
      <c r="P48" s="2">
        <v>4</v>
      </c>
      <c r="Q48" s="2">
        <v>8</v>
      </c>
      <c r="R48" s="2">
        <v>4</v>
      </c>
      <c r="S48" s="3">
        <v>46181</v>
      </c>
      <c r="T48" s="2"/>
      <c r="U48" s="2"/>
    </row>
    <row r="49" spans="1:21" x14ac:dyDescent="0.25">
      <c r="A49" s="1" t="s">
        <v>33</v>
      </c>
      <c r="B49" s="2">
        <v>509</v>
      </c>
      <c r="C49" s="2">
        <v>9264</v>
      </c>
      <c r="D49" s="34">
        <f t="shared" si="3"/>
        <v>60</v>
      </c>
      <c r="E49" s="2">
        <v>2</v>
      </c>
      <c r="F49" s="2">
        <v>2</v>
      </c>
      <c r="G49" s="2">
        <v>2</v>
      </c>
      <c r="H49" s="2">
        <v>2</v>
      </c>
      <c r="I49" s="2">
        <v>2</v>
      </c>
      <c r="J49" s="2">
        <v>2</v>
      </c>
      <c r="K49" s="2">
        <v>8</v>
      </c>
      <c r="L49" s="2">
        <v>4</v>
      </c>
      <c r="M49" s="2">
        <v>8</v>
      </c>
      <c r="N49" s="2">
        <v>4</v>
      </c>
      <c r="O49" s="2">
        <v>8</v>
      </c>
      <c r="P49" s="2">
        <v>4</v>
      </c>
      <c r="Q49" s="2">
        <v>8</v>
      </c>
      <c r="R49" s="2">
        <v>4</v>
      </c>
      <c r="S49" s="3">
        <v>46181</v>
      </c>
      <c r="T49" s="2"/>
      <c r="U49" s="2"/>
    </row>
    <row r="50" spans="1:21" x14ac:dyDescent="0.25">
      <c r="A50" s="1" t="s">
        <v>260</v>
      </c>
      <c r="B50" s="2">
        <v>510</v>
      </c>
      <c r="C50" s="2">
        <v>9243</v>
      </c>
      <c r="D50" s="34">
        <f t="shared" si="3"/>
        <v>24</v>
      </c>
      <c r="E50" s="2">
        <v>1</v>
      </c>
      <c r="F50" s="2">
        <v>1</v>
      </c>
      <c r="G50" s="2">
        <v>4</v>
      </c>
      <c r="H50" s="2">
        <v>1</v>
      </c>
      <c r="I50" s="2">
        <v>4</v>
      </c>
      <c r="J50" s="2">
        <v>1</v>
      </c>
      <c r="K50" s="2"/>
      <c r="L50" s="2">
        <v>6</v>
      </c>
      <c r="M50" s="2"/>
      <c r="N50" s="2"/>
      <c r="O50" s="2">
        <v>3</v>
      </c>
      <c r="P50" s="2"/>
      <c r="Q50" s="2">
        <v>3</v>
      </c>
      <c r="R50" s="2"/>
      <c r="S50" s="3">
        <v>46181</v>
      </c>
      <c r="T50" s="2"/>
      <c r="U50" s="2"/>
    </row>
    <row r="51" spans="1:21" x14ac:dyDescent="0.25">
      <c r="A51" s="1" t="s">
        <v>260</v>
      </c>
      <c r="B51" s="2">
        <v>511</v>
      </c>
      <c r="C51" s="2">
        <v>9242</v>
      </c>
      <c r="D51" s="34">
        <f t="shared" ref="D51:D52" si="4">SUM(E51:R51)</f>
        <v>24</v>
      </c>
      <c r="E51" s="2">
        <v>4</v>
      </c>
      <c r="F51" s="2">
        <v>1</v>
      </c>
      <c r="G51" s="2">
        <v>1</v>
      </c>
      <c r="H51" s="2">
        <v>1</v>
      </c>
      <c r="I51" s="2">
        <v>4</v>
      </c>
      <c r="J51" s="2">
        <v>1</v>
      </c>
      <c r="K51" s="2">
        <v>1</v>
      </c>
      <c r="L51" s="2"/>
      <c r="M51" s="2">
        <v>1</v>
      </c>
      <c r="N51" s="2"/>
      <c r="O51" s="2">
        <v>1</v>
      </c>
      <c r="P51" s="2">
        <v>1</v>
      </c>
      <c r="Q51" s="2">
        <v>7</v>
      </c>
      <c r="R51" s="2">
        <v>1</v>
      </c>
      <c r="S51" s="3">
        <v>46181</v>
      </c>
      <c r="T51" s="2"/>
      <c r="U51" s="2"/>
    </row>
    <row r="52" spans="1:21" x14ac:dyDescent="0.25">
      <c r="A52" s="1" t="s">
        <v>247</v>
      </c>
      <c r="B52" s="2">
        <v>512</v>
      </c>
      <c r="C52" s="2">
        <v>9236</v>
      </c>
      <c r="D52" s="34">
        <f t="shared" si="4"/>
        <v>12</v>
      </c>
      <c r="E52" s="2">
        <v>1</v>
      </c>
      <c r="F52" s="2"/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/>
      <c r="S52" s="3">
        <v>46181</v>
      </c>
      <c r="T52" s="2"/>
      <c r="U52" s="2"/>
    </row>
    <row r="53" spans="1:21" x14ac:dyDescent="0.25">
      <c r="B53" s="4"/>
      <c r="C53" s="4"/>
      <c r="D53" s="17">
        <f>SUM(D3:D52)</f>
        <v>1520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5">
      <c r="B54" s="4"/>
      <c r="C54" s="4"/>
      <c r="D54" s="3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5">
      <c r="B55" s="4"/>
      <c r="C55" s="4"/>
      <c r="D55" s="3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5">
      <c r="B56" s="4"/>
      <c r="C56" s="4"/>
      <c r="D56" s="3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5">
      <c r="B57" s="4"/>
      <c r="C57" s="4"/>
      <c r="D57" s="3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5">
      <c r="B58" s="4"/>
      <c r="C58" s="4"/>
      <c r="D58" s="3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5">
      <c r="B59" s="4"/>
      <c r="C59" s="4"/>
      <c r="D59" s="3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x14ac:dyDescent="0.25">
      <c r="B60" s="4"/>
      <c r="C60" s="4"/>
      <c r="D60" s="3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x14ac:dyDescent="0.25">
      <c r="B61" s="4"/>
      <c r="C61" s="4"/>
      <c r="D61" s="3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x14ac:dyDescent="0.25">
      <c r="B62" s="4"/>
      <c r="C62" s="4"/>
      <c r="D62" s="3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x14ac:dyDescent="0.25">
      <c r="B63" s="4"/>
      <c r="C63" s="4"/>
      <c r="D63" s="3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5">
      <c r="B64" s="4"/>
      <c r="C64" s="4"/>
      <c r="D64" s="3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2:21" x14ac:dyDescent="0.25">
      <c r="B65" s="4"/>
      <c r="C65" s="4"/>
      <c r="D65" s="3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2:21" x14ac:dyDescent="0.25">
      <c r="B66" s="4"/>
      <c r="C66" s="4"/>
      <c r="D66" s="3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2:21" x14ac:dyDescent="0.25">
      <c r="B67" s="4"/>
      <c r="C67" s="4"/>
      <c r="D67" s="3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2:21" x14ac:dyDescent="0.25">
      <c r="B68" s="4"/>
      <c r="C68" s="4"/>
      <c r="D68" s="3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2:21" x14ac:dyDescent="0.25">
      <c r="B69" s="4"/>
      <c r="C69" s="4"/>
      <c r="D69" s="3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2:21" x14ac:dyDescent="0.25">
      <c r="B70" s="4"/>
      <c r="C70" s="4"/>
      <c r="D70" s="3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2:21" x14ac:dyDescent="0.25">
      <c r="B71" s="4"/>
      <c r="C71" s="4"/>
      <c r="D71" s="3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2:21" x14ac:dyDescent="0.25">
      <c r="B72" s="4"/>
      <c r="C72" s="4"/>
      <c r="D72" s="3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2:21" x14ac:dyDescent="0.25">
      <c r="B73" s="4"/>
      <c r="C73" s="4"/>
      <c r="D73" s="3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2:21" x14ac:dyDescent="0.25">
      <c r="B74" s="4"/>
      <c r="C74" s="4"/>
      <c r="D74" s="3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2:21" x14ac:dyDescent="0.25">
      <c r="B75" s="4"/>
      <c r="C75" s="4"/>
      <c r="D75" s="3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2:21" x14ac:dyDescent="0.25">
      <c r="B76" s="4"/>
      <c r="C76" s="4"/>
      <c r="D76" s="3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2:21" x14ac:dyDescent="0.25">
      <c r="B77" s="4"/>
      <c r="C77" s="4"/>
      <c r="D77" s="3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2:21" x14ac:dyDescent="0.25">
      <c r="B78" s="4"/>
      <c r="C78" s="4"/>
      <c r="D78" s="3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2:21" x14ac:dyDescent="0.25">
      <c r="B79" s="4"/>
      <c r="C79" s="4"/>
      <c r="D79" s="3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2:21" x14ac:dyDescent="0.25">
      <c r="B80" s="4"/>
      <c r="C80" s="4"/>
      <c r="D80" s="3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2:21" x14ac:dyDescent="0.25">
      <c r="B81" s="4"/>
      <c r="C81" s="4"/>
      <c r="D81" s="3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2:21" x14ac:dyDescent="0.25">
      <c r="B82" s="4"/>
      <c r="C82" s="4"/>
      <c r="D82" s="3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2:21" x14ac:dyDescent="0.25">
      <c r="B83" s="4"/>
      <c r="C83" s="4"/>
      <c r="D83" s="3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2:21" x14ac:dyDescent="0.25">
      <c r="B84" s="4"/>
      <c r="C84" s="4"/>
      <c r="D84" s="3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2:21" x14ac:dyDescent="0.25">
      <c r="B85" s="4"/>
      <c r="C85" s="4"/>
      <c r="D85" s="3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2:21" x14ac:dyDescent="0.25">
      <c r="B86" s="4"/>
      <c r="C86" s="4"/>
      <c r="D86" s="3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2:21" x14ac:dyDescent="0.25">
      <c r="B87" s="4"/>
      <c r="C87" s="4"/>
      <c r="D87" s="3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2:21" x14ac:dyDescent="0.25">
      <c r="B88" s="4"/>
      <c r="C88" s="4"/>
      <c r="D88" s="3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2:21" x14ac:dyDescent="0.25">
      <c r="B89" s="4"/>
      <c r="C89" s="4"/>
      <c r="D89" s="3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2:21" x14ac:dyDescent="0.25">
      <c r="B90" s="4"/>
      <c r="C90" s="4"/>
      <c r="D90" s="3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2:21" x14ac:dyDescent="0.25">
      <c r="B91" s="4"/>
      <c r="C91" s="4"/>
      <c r="D91" s="3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2:21" x14ac:dyDescent="0.25">
      <c r="B92" s="4"/>
      <c r="C92" s="4"/>
      <c r="D92" s="3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2:21" x14ac:dyDescent="0.25">
      <c r="B93" s="4"/>
      <c r="C93" s="4"/>
      <c r="D93" s="3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2:21" x14ac:dyDescent="0.25">
      <c r="B94" s="4"/>
      <c r="C94" s="4"/>
      <c r="D94" s="3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2:21" x14ac:dyDescent="0.25">
      <c r="B95" s="4"/>
      <c r="C95" s="4"/>
      <c r="D95" s="3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2:21" x14ac:dyDescent="0.2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2:21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2:21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2:21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2:21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2:21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2:21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2:21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2:21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2:21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2:21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2:21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2:21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2:21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2:21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2:21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2:21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2:21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2:21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2:21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2:21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2:21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2:21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2:21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2:21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2:21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2:21" x14ac:dyDescent="0.2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2:21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2:21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2:21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2:21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2:21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2:21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2:21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2:21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2:21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2:21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2:21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2:21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2:21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2:21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2:21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2:21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2:21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2:21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2:21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2:21" x14ac:dyDescent="0.2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2:21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2:21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2:21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2:21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2:21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2:21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2:21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2:21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2:21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2:21" x14ac:dyDescent="0.2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2:21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2:21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2:21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2:21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2:21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2:21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2:21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2:21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2:21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2:21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2:21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2:21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2:21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2:21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2:21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2:21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2:21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2:21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2:21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2:21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2:21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2:21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2:21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2:21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2:21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2:21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2:21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2:21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2:21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2:21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2:21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2:21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2:21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2:21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2:21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2:21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2:21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2:21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2:21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2:21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2:21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2:21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2:21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2:21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2:21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2:21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2:21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2:21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2:21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2:21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2:21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2:21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2:21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2:21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2:21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2:21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2:21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2:21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2:21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2:21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2:21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2:21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2:21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2:21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2:21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2:21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2:21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2:21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2:21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2:21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2:21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2:21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2:21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2:21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2:21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2:21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2:21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2:21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2:21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2:21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2:21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2:21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2:21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2:21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2:21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2:21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2:21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2:21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2:21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2:21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2:21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</sheetData>
  <mergeCells count="4">
    <mergeCell ref="A1:D1"/>
    <mergeCell ref="E1:R1"/>
    <mergeCell ref="S1:S2"/>
    <mergeCell ref="T1:U1"/>
  </mergeCells>
  <pageMargins left="0.7" right="0.7" top="0.75" bottom="0.75" header="0.3" footer="0.3"/>
  <pageSetup paperSize="0" orientation="portrait" horizontalDpi="203" verticalDpi="203" r:id="rId1"/>
  <ignoredErrors>
    <ignoredError sqref="D3:D21 D22:D31 D32:D46 D47:D50 D51:D52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U50"/>
  <sheetViews>
    <sheetView workbookViewId="0">
      <selection activeCell="A3" sqref="A3:XFD3"/>
    </sheetView>
  </sheetViews>
  <sheetFormatPr defaultColWidth="11.42578125" defaultRowHeight="15" x14ac:dyDescent="0.25"/>
  <cols>
    <col min="1" max="1" width="22.85546875" customWidth="1"/>
    <col min="5" max="5" width="4.85546875" customWidth="1"/>
    <col min="6" max="6" width="5.140625" customWidth="1"/>
    <col min="7" max="7" width="4.7109375" customWidth="1"/>
    <col min="8" max="8" width="4.85546875" customWidth="1"/>
    <col min="9" max="9" width="5" customWidth="1"/>
    <col min="10" max="10" width="5.140625" customWidth="1"/>
    <col min="11" max="11" width="4.28515625" customWidth="1"/>
    <col min="12" max="12" width="5.140625" customWidth="1"/>
    <col min="13" max="13" width="4.28515625" customWidth="1"/>
    <col min="14" max="15" width="5.28515625" customWidth="1"/>
    <col min="16" max="16" width="5.7109375" customWidth="1"/>
    <col min="17" max="17" width="5.28515625" customWidth="1"/>
    <col min="18" max="18" width="5.140625" customWidth="1"/>
    <col min="19" max="19" width="13.5703125" customWidth="1"/>
  </cols>
  <sheetData>
    <row r="1" spans="1:21" ht="18.75" x14ac:dyDescent="0.25">
      <c r="A1" s="63" t="s">
        <v>261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226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  <c r="T2" s="22" t="s">
        <v>9</v>
      </c>
      <c r="U2" s="22" t="s">
        <v>10</v>
      </c>
    </row>
    <row r="3" spans="1:21" x14ac:dyDescent="0.25">
      <c r="A3" s="1" t="s">
        <v>68</v>
      </c>
      <c r="B3" s="2">
        <v>532</v>
      </c>
      <c r="C3" s="2">
        <v>9210</v>
      </c>
      <c r="D3" s="34">
        <f>SUM(E3:R3)</f>
        <v>24</v>
      </c>
      <c r="E3" s="2"/>
      <c r="F3" s="2"/>
      <c r="G3" s="2"/>
      <c r="H3" s="2"/>
      <c r="I3" s="2"/>
      <c r="J3" s="2"/>
      <c r="K3" s="2">
        <v>2</v>
      </c>
      <c r="L3" s="2">
        <v>2</v>
      </c>
      <c r="M3" s="2">
        <v>2</v>
      </c>
      <c r="N3" s="2">
        <v>2</v>
      </c>
      <c r="O3" s="2">
        <v>3</v>
      </c>
      <c r="P3" s="2">
        <v>3</v>
      </c>
      <c r="Q3" s="2">
        <v>5</v>
      </c>
      <c r="R3" s="2">
        <v>5</v>
      </c>
      <c r="S3" s="3">
        <v>46188</v>
      </c>
      <c r="T3" s="2"/>
      <c r="U3" s="2"/>
    </row>
    <row r="4" spans="1:21" x14ac:dyDescent="0.25">
      <c r="A4" s="1" t="s">
        <v>28</v>
      </c>
      <c r="B4" s="2">
        <v>533</v>
      </c>
      <c r="C4" s="2">
        <v>9232</v>
      </c>
      <c r="D4" s="34">
        <f t="shared" ref="D4:D33" si="0">SUM(E4:R4)</f>
        <v>36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4</v>
      </c>
      <c r="L4" s="2">
        <v>2</v>
      </c>
      <c r="M4" s="2">
        <v>4</v>
      </c>
      <c r="N4" s="2">
        <v>2</v>
      </c>
      <c r="O4" s="2">
        <v>4</v>
      </c>
      <c r="P4" s="2">
        <v>2</v>
      </c>
      <c r="Q4" s="2">
        <v>4</v>
      </c>
      <c r="R4" s="2">
        <v>2</v>
      </c>
      <c r="S4" s="3">
        <v>46188</v>
      </c>
      <c r="T4" s="2"/>
      <c r="U4" s="2"/>
    </row>
    <row r="5" spans="1:21" x14ac:dyDescent="0.25">
      <c r="A5" s="1" t="s">
        <v>28</v>
      </c>
      <c r="B5" s="2">
        <v>534</v>
      </c>
      <c r="C5" s="2">
        <v>9245</v>
      </c>
      <c r="D5" s="34">
        <f t="shared" si="0"/>
        <v>36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4</v>
      </c>
      <c r="L5" s="2">
        <v>2</v>
      </c>
      <c r="M5" s="2">
        <v>4</v>
      </c>
      <c r="N5" s="2">
        <v>2</v>
      </c>
      <c r="O5" s="2">
        <v>4</v>
      </c>
      <c r="P5" s="2">
        <v>2</v>
      </c>
      <c r="Q5" s="2">
        <v>4</v>
      </c>
      <c r="R5" s="2">
        <v>2</v>
      </c>
      <c r="S5" s="3">
        <v>46188</v>
      </c>
      <c r="T5" s="2"/>
      <c r="U5" s="2"/>
    </row>
    <row r="6" spans="1:21" x14ac:dyDescent="0.25">
      <c r="A6" s="1" t="s">
        <v>28</v>
      </c>
      <c r="B6" s="2">
        <v>535</v>
      </c>
      <c r="C6" s="2">
        <v>9213</v>
      </c>
      <c r="D6" s="34">
        <f t="shared" si="0"/>
        <v>36</v>
      </c>
      <c r="E6" s="2">
        <v>2</v>
      </c>
      <c r="F6" s="2">
        <v>2</v>
      </c>
      <c r="G6" s="2">
        <v>2</v>
      </c>
      <c r="H6" s="2">
        <v>2</v>
      </c>
      <c r="I6" s="2">
        <v>2</v>
      </c>
      <c r="J6" s="2">
        <v>2</v>
      </c>
      <c r="K6" s="2">
        <v>4</v>
      </c>
      <c r="L6" s="2">
        <v>2</v>
      </c>
      <c r="M6" s="2">
        <v>4</v>
      </c>
      <c r="N6" s="2">
        <v>2</v>
      </c>
      <c r="O6" s="2">
        <v>4</v>
      </c>
      <c r="P6" s="2">
        <v>2</v>
      </c>
      <c r="Q6" s="2">
        <v>4</v>
      </c>
      <c r="R6" s="2">
        <v>2</v>
      </c>
      <c r="S6" s="3">
        <v>46188</v>
      </c>
      <c r="T6" s="2"/>
      <c r="U6" s="2"/>
    </row>
    <row r="7" spans="1:21" x14ac:dyDescent="0.25">
      <c r="A7" s="1" t="s">
        <v>28</v>
      </c>
      <c r="B7" s="2">
        <v>536</v>
      </c>
      <c r="C7" s="2">
        <v>9231</v>
      </c>
      <c r="D7" s="34">
        <f t="shared" si="0"/>
        <v>36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4</v>
      </c>
      <c r="L7" s="2">
        <v>2</v>
      </c>
      <c r="M7" s="2">
        <v>4</v>
      </c>
      <c r="N7" s="2">
        <v>2</v>
      </c>
      <c r="O7" s="2">
        <v>4</v>
      </c>
      <c r="P7" s="2">
        <v>2</v>
      </c>
      <c r="Q7" s="2">
        <v>4</v>
      </c>
      <c r="R7" s="2">
        <v>2</v>
      </c>
      <c r="S7" s="3">
        <v>46188</v>
      </c>
      <c r="T7" s="2"/>
      <c r="U7" s="2"/>
    </row>
    <row r="8" spans="1:21" x14ac:dyDescent="0.25">
      <c r="A8" s="1" t="s">
        <v>28</v>
      </c>
      <c r="B8" s="2">
        <v>537</v>
      </c>
      <c r="C8" s="2">
        <v>9202</v>
      </c>
      <c r="D8" s="34">
        <f t="shared" si="0"/>
        <v>36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2</v>
      </c>
      <c r="K8" s="2">
        <v>4</v>
      </c>
      <c r="L8" s="2">
        <v>2</v>
      </c>
      <c r="M8" s="2">
        <v>4</v>
      </c>
      <c r="N8" s="2">
        <v>2</v>
      </c>
      <c r="O8" s="2">
        <v>4</v>
      </c>
      <c r="P8" s="2">
        <v>2</v>
      </c>
      <c r="Q8" s="2">
        <v>4</v>
      </c>
      <c r="R8" s="2">
        <v>2</v>
      </c>
      <c r="S8" s="3">
        <v>46188</v>
      </c>
      <c r="T8" s="2"/>
      <c r="U8" s="2"/>
    </row>
    <row r="9" spans="1:21" x14ac:dyDescent="0.25">
      <c r="A9" s="1" t="s">
        <v>28</v>
      </c>
      <c r="B9" s="2">
        <v>538</v>
      </c>
      <c r="C9" s="2">
        <v>9208</v>
      </c>
      <c r="D9" s="34">
        <f t="shared" si="0"/>
        <v>36</v>
      </c>
      <c r="E9" s="2">
        <v>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4</v>
      </c>
      <c r="L9" s="2">
        <v>2</v>
      </c>
      <c r="M9" s="2">
        <v>4</v>
      </c>
      <c r="N9" s="2">
        <v>2</v>
      </c>
      <c r="O9" s="2">
        <v>4</v>
      </c>
      <c r="P9" s="2">
        <v>2</v>
      </c>
      <c r="Q9" s="2">
        <v>4</v>
      </c>
      <c r="R9" s="2">
        <v>2</v>
      </c>
      <c r="S9" s="3">
        <v>46188</v>
      </c>
      <c r="T9" s="2"/>
      <c r="U9" s="2"/>
    </row>
    <row r="10" spans="1:21" x14ac:dyDescent="0.25">
      <c r="A10" s="1" t="s">
        <v>28</v>
      </c>
      <c r="B10" s="2">
        <v>539</v>
      </c>
      <c r="C10" s="2">
        <v>9270</v>
      </c>
      <c r="D10" s="34">
        <f t="shared" si="0"/>
        <v>36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4</v>
      </c>
      <c r="L10" s="2">
        <v>2</v>
      </c>
      <c r="M10" s="2">
        <v>4</v>
      </c>
      <c r="N10" s="2">
        <v>2</v>
      </c>
      <c r="O10" s="2">
        <v>4</v>
      </c>
      <c r="P10" s="2">
        <v>2</v>
      </c>
      <c r="Q10" s="2">
        <v>4</v>
      </c>
      <c r="R10" s="2">
        <v>2</v>
      </c>
      <c r="S10" s="3">
        <v>46188</v>
      </c>
      <c r="T10" s="2"/>
      <c r="U10" s="2"/>
    </row>
    <row r="11" spans="1:21" x14ac:dyDescent="0.25">
      <c r="A11" s="1" t="s">
        <v>28</v>
      </c>
      <c r="B11" s="2">
        <v>540</v>
      </c>
      <c r="C11" s="2">
        <v>9219</v>
      </c>
      <c r="D11" s="34">
        <f t="shared" si="0"/>
        <v>36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4</v>
      </c>
      <c r="L11" s="2">
        <v>2</v>
      </c>
      <c r="M11" s="2">
        <v>4</v>
      </c>
      <c r="N11" s="2">
        <v>2</v>
      </c>
      <c r="O11" s="2">
        <v>4</v>
      </c>
      <c r="P11" s="2">
        <v>2</v>
      </c>
      <c r="Q11" s="2">
        <v>4</v>
      </c>
      <c r="R11" s="2">
        <v>2</v>
      </c>
      <c r="S11" s="3">
        <v>46188</v>
      </c>
      <c r="T11" s="2"/>
      <c r="U11" s="2"/>
    </row>
    <row r="12" spans="1:21" x14ac:dyDescent="0.25">
      <c r="A12" s="1" t="s">
        <v>29</v>
      </c>
      <c r="B12" s="2">
        <v>543</v>
      </c>
      <c r="C12" s="2">
        <v>9272</v>
      </c>
      <c r="D12" s="34">
        <f t="shared" si="0"/>
        <v>24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1</v>
      </c>
      <c r="M12" s="2">
        <v>2</v>
      </c>
      <c r="N12" s="2">
        <v>1</v>
      </c>
      <c r="O12" s="2">
        <v>2</v>
      </c>
      <c r="P12" s="2">
        <v>1</v>
      </c>
      <c r="Q12" s="2">
        <v>2</v>
      </c>
      <c r="R12" s="2">
        <v>1</v>
      </c>
      <c r="S12" s="3">
        <v>46188</v>
      </c>
      <c r="T12" s="2"/>
      <c r="U12" s="2"/>
    </row>
    <row r="13" spans="1:21" x14ac:dyDescent="0.25">
      <c r="A13" s="1" t="s">
        <v>29</v>
      </c>
      <c r="B13" s="2">
        <v>544</v>
      </c>
      <c r="C13" s="2">
        <v>9273</v>
      </c>
      <c r="D13" s="34">
        <f t="shared" si="0"/>
        <v>24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2">
        <v>1</v>
      </c>
      <c r="M13" s="2">
        <v>2</v>
      </c>
      <c r="N13" s="2">
        <v>1</v>
      </c>
      <c r="O13" s="2">
        <v>2</v>
      </c>
      <c r="P13" s="2">
        <v>1</v>
      </c>
      <c r="Q13" s="2">
        <v>2</v>
      </c>
      <c r="R13" s="2">
        <v>1</v>
      </c>
      <c r="S13" s="3">
        <v>46188</v>
      </c>
      <c r="T13" s="2"/>
      <c r="U13" s="2"/>
    </row>
    <row r="14" spans="1:21" x14ac:dyDescent="0.25">
      <c r="A14" s="1" t="s">
        <v>29</v>
      </c>
      <c r="B14" s="2">
        <v>545</v>
      </c>
      <c r="C14" s="2">
        <v>9274</v>
      </c>
      <c r="D14" s="34">
        <f t="shared" si="0"/>
        <v>24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2</v>
      </c>
      <c r="L14" s="2">
        <v>1</v>
      </c>
      <c r="M14" s="2">
        <v>2</v>
      </c>
      <c r="N14" s="2">
        <v>1</v>
      </c>
      <c r="O14" s="2">
        <v>2</v>
      </c>
      <c r="P14" s="2">
        <v>1</v>
      </c>
      <c r="Q14" s="2">
        <v>2</v>
      </c>
      <c r="R14" s="2">
        <v>1</v>
      </c>
      <c r="S14" s="3">
        <v>46188</v>
      </c>
      <c r="T14" s="2"/>
      <c r="U14" s="2"/>
    </row>
    <row r="15" spans="1:21" x14ac:dyDescent="0.25">
      <c r="A15" s="1" t="s">
        <v>29</v>
      </c>
      <c r="B15" s="2">
        <v>546</v>
      </c>
      <c r="C15" s="2">
        <v>9275</v>
      </c>
      <c r="D15" s="34">
        <f t="shared" si="0"/>
        <v>24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2</v>
      </c>
      <c r="L15" s="2">
        <v>1</v>
      </c>
      <c r="M15" s="2">
        <v>2</v>
      </c>
      <c r="N15" s="2">
        <v>1</v>
      </c>
      <c r="O15" s="2">
        <v>2</v>
      </c>
      <c r="P15" s="2">
        <v>1</v>
      </c>
      <c r="Q15" s="2">
        <v>2</v>
      </c>
      <c r="R15" s="2">
        <v>1</v>
      </c>
      <c r="S15" s="3">
        <v>46188</v>
      </c>
      <c r="T15" s="2"/>
      <c r="U15" s="2"/>
    </row>
    <row r="16" spans="1:21" x14ac:dyDescent="0.25">
      <c r="A16" s="1" t="s">
        <v>29</v>
      </c>
      <c r="B16" s="2">
        <v>547</v>
      </c>
      <c r="C16" s="2">
        <v>9276</v>
      </c>
      <c r="D16" s="34">
        <f t="shared" si="0"/>
        <v>24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  <c r="K16" s="2">
        <v>2</v>
      </c>
      <c r="L16" s="2">
        <v>1</v>
      </c>
      <c r="M16" s="2">
        <v>2</v>
      </c>
      <c r="N16" s="2">
        <v>1</v>
      </c>
      <c r="O16" s="2">
        <v>2</v>
      </c>
      <c r="P16" s="2">
        <v>1</v>
      </c>
      <c r="Q16" s="2">
        <v>2</v>
      </c>
      <c r="R16" s="2">
        <v>1</v>
      </c>
      <c r="S16" s="3">
        <v>46188</v>
      </c>
      <c r="T16" s="2"/>
      <c r="U16" s="2"/>
    </row>
    <row r="17" spans="1:21" x14ac:dyDescent="0.25">
      <c r="A17" s="1" t="s">
        <v>29</v>
      </c>
      <c r="B17" s="2">
        <v>548</v>
      </c>
      <c r="C17" s="2">
        <v>9278</v>
      </c>
      <c r="D17" s="34">
        <f t="shared" si="0"/>
        <v>24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1</v>
      </c>
      <c r="M17" s="2">
        <v>2</v>
      </c>
      <c r="N17" s="2">
        <v>1</v>
      </c>
      <c r="O17" s="2">
        <v>2</v>
      </c>
      <c r="P17" s="2">
        <v>1</v>
      </c>
      <c r="Q17" s="2">
        <v>2</v>
      </c>
      <c r="R17" s="2">
        <v>1</v>
      </c>
      <c r="S17" s="3">
        <v>46188</v>
      </c>
      <c r="T17" s="2"/>
      <c r="U17" s="2"/>
    </row>
    <row r="18" spans="1:21" x14ac:dyDescent="0.25">
      <c r="A18" s="1" t="s">
        <v>29</v>
      </c>
      <c r="B18" s="2">
        <v>549</v>
      </c>
      <c r="C18" s="2">
        <v>9280</v>
      </c>
      <c r="D18" s="34">
        <f t="shared" si="0"/>
        <v>24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2">
        <v>1</v>
      </c>
      <c r="M18" s="2">
        <v>2</v>
      </c>
      <c r="N18" s="2">
        <v>1</v>
      </c>
      <c r="O18" s="2">
        <v>2</v>
      </c>
      <c r="P18" s="2">
        <v>1</v>
      </c>
      <c r="Q18" s="2">
        <v>2</v>
      </c>
      <c r="R18" s="2">
        <v>1</v>
      </c>
      <c r="S18" s="3">
        <v>46188</v>
      </c>
      <c r="T18" s="2"/>
      <c r="U18" s="2"/>
    </row>
    <row r="19" spans="1:21" x14ac:dyDescent="0.25">
      <c r="A19" s="1" t="s">
        <v>262</v>
      </c>
      <c r="B19" s="2">
        <v>550</v>
      </c>
      <c r="C19" s="2">
        <v>9280</v>
      </c>
      <c r="D19" s="34">
        <f t="shared" si="0"/>
        <v>24</v>
      </c>
      <c r="E19" s="2">
        <v>2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>
        <v>1</v>
      </c>
      <c r="M19" s="2">
        <v>2</v>
      </c>
      <c r="N19" s="2">
        <v>1</v>
      </c>
      <c r="O19" s="2">
        <v>2</v>
      </c>
      <c r="P19" s="2">
        <v>1</v>
      </c>
      <c r="Q19" s="2">
        <v>2</v>
      </c>
      <c r="R19" s="2">
        <v>1</v>
      </c>
      <c r="S19" s="3">
        <v>46188</v>
      </c>
      <c r="T19" s="2"/>
      <c r="U19" s="2"/>
    </row>
    <row r="20" spans="1:21" x14ac:dyDescent="0.25">
      <c r="A20" s="1" t="s">
        <v>262</v>
      </c>
      <c r="B20" s="2">
        <v>551</v>
      </c>
      <c r="C20" s="2">
        <v>9248</v>
      </c>
      <c r="D20" s="34">
        <f t="shared" si="0"/>
        <v>24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1</v>
      </c>
      <c r="M20" s="2">
        <v>2</v>
      </c>
      <c r="N20" s="2">
        <v>1</v>
      </c>
      <c r="O20" s="2">
        <v>2</v>
      </c>
      <c r="P20" s="2">
        <v>1</v>
      </c>
      <c r="Q20" s="2">
        <v>2</v>
      </c>
      <c r="R20" s="2">
        <v>1</v>
      </c>
      <c r="S20" s="3">
        <v>46188</v>
      </c>
      <c r="T20" s="2"/>
      <c r="U20" s="2"/>
    </row>
    <row r="21" spans="1:21" x14ac:dyDescent="0.25">
      <c r="A21" s="1" t="s">
        <v>262</v>
      </c>
      <c r="B21" s="2">
        <v>552</v>
      </c>
      <c r="C21" s="2">
        <v>9231</v>
      </c>
      <c r="D21" s="34">
        <f t="shared" si="0"/>
        <v>24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1</v>
      </c>
      <c r="M21" s="2">
        <v>2</v>
      </c>
      <c r="N21" s="2">
        <v>1</v>
      </c>
      <c r="O21" s="2">
        <v>2</v>
      </c>
      <c r="P21" s="2">
        <v>1</v>
      </c>
      <c r="Q21" s="2">
        <v>2</v>
      </c>
      <c r="R21" s="2">
        <v>1</v>
      </c>
      <c r="S21" s="3">
        <v>46188</v>
      </c>
      <c r="T21" s="2"/>
      <c r="U21" s="2"/>
    </row>
    <row r="22" spans="1:21" x14ac:dyDescent="0.25">
      <c r="A22" s="1" t="s">
        <v>262</v>
      </c>
      <c r="B22" s="2">
        <v>553</v>
      </c>
      <c r="C22" s="2">
        <v>2601</v>
      </c>
      <c r="D22" s="34">
        <f t="shared" si="0"/>
        <v>24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1</v>
      </c>
      <c r="M22" s="2">
        <v>2</v>
      </c>
      <c r="N22" s="2">
        <v>1</v>
      </c>
      <c r="O22" s="2">
        <v>2</v>
      </c>
      <c r="P22" s="2">
        <v>1</v>
      </c>
      <c r="Q22" s="2">
        <v>2</v>
      </c>
      <c r="R22" s="2">
        <v>1</v>
      </c>
      <c r="S22" s="3">
        <v>46188</v>
      </c>
      <c r="T22" s="2"/>
      <c r="U22" s="2"/>
    </row>
    <row r="23" spans="1:21" x14ac:dyDescent="0.25">
      <c r="A23" s="1" t="s">
        <v>262</v>
      </c>
      <c r="B23" s="2">
        <v>554</v>
      </c>
      <c r="C23" s="2">
        <v>9218</v>
      </c>
      <c r="D23" s="34">
        <f t="shared" si="0"/>
        <v>24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1</v>
      </c>
      <c r="M23" s="2">
        <v>2</v>
      </c>
      <c r="N23" s="2">
        <v>1</v>
      </c>
      <c r="O23" s="2">
        <v>2</v>
      </c>
      <c r="P23" s="2">
        <v>1</v>
      </c>
      <c r="Q23" s="2">
        <v>2</v>
      </c>
      <c r="R23" s="2">
        <v>1</v>
      </c>
      <c r="S23" s="3">
        <v>46188</v>
      </c>
      <c r="T23" s="2"/>
      <c r="U23" s="2"/>
    </row>
    <row r="24" spans="1:21" x14ac:dyDescent="0.25">
      <c r="A24" s="1" t="s">
        <v>262</v>
      </c>
      <c r="B24" s="2">
        <v>555</v>
      </c>
      <c r="C24" s="2">
        <v>9243</v>
      </c>
      <c r="D24" s="34">
        <f t="shared" si="0"/>
        <v>24</v>
      </c>
      <c r="E24" s="2">
        <v>2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>
        <v>2</v>
      </c>
      <c r="L24" s="2">
        <v>1</v>
      </c>
      <c r="M24" s="2">
        <v>2</v>
      </c>
      <c r="N24" s="2">
        <v>1</v>
      </c>
      <c r="O24" s="2">
        <v>2</v>
      </c>
      <c r="P24" s="2">
        <v>1</v>
      </c>
      <c r="Q24" s="2">
        <v>2</v>
      </c>
      <c r="R24" s="2">
        <v>1</v>
      </c>
      <c r="S24" s="3">
        <v>46188</v>
      </c>
      <c r="T24" s="2"/>
      <c r="U24" s="2"/>
    </row>
    <row r="25" spans="1:21" x14ac:dyDescent="0.25">
      <c r="A25" s="1" t="s">
        <v>231</v>
      </c>
      <c r="B25" s="2">
        <v>556</v>
      </c>
      <c r="C25" s="2">
        <v>9220</v>
      </c>
      <c r="D25" s="34">
        <f t="shared" si="0"/>
        <v>60</v>
      </c>
      <c r="E25" s="2">
        <v>2</v>
      </c>
      <c r="F25" s="2">
        <v>2</v>
      </c>
      <c r="G25" s="2">
        <v>2</v>
      </c>
      <c r="H25" s="2">
        <v>2</v>
      </c>
      <c r="I25" s="2">
        <v>2</v>
      </c>
      <c r="J25" s="2">
        <v>2</v>
      </c>
      <c r="K25" s="2">
        <v>8</v>
      </c>
      <c r="L25" s="2">
        <v>4</v>
      </c>
      <c r="M25" s="2">
        <v>8</v>
      </c>
      <c r="N25" s="2">
        <v>4</v>
      </c>
      <c r="O25" s="2">
        <v>8</v>
      </c>
      <c r="P25" s="2">
        <v>4</v>
      </c>
      <c r="Q25" s="2">
        <v>8</v>
      </c>
      <c r="R25" s="2">
        <v>4</v>
      </c>
      <c r="S25" s="3">
        <v>46188</v>
      </c>
      <c r="T25" s="2"/>
      <c r="U25" s="2"/>
    </row>
    <row r="26" spans="1:21" x14ac:dyDescent="0.25">
      <c r="A26" s="1" t="s">
        <v>231</v>
      </c>
      <c r="B26" s="2">
        <v>557</v>
      </c>
      <c r="C26" s="2">
        <v>9220</v>
      </c>
      <c r="D26" s="34">
        <f t="shared" si="0"/>
        <v>60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8</v>
      </c>
      <c r="L26" s="2">
        <v>4</v>
      </c>
      <c r="M26" s="2">
        <v>8</v>
      </c>
      <c r="N26" s="2">
        <v>4</v>
      </c>
      <c r="O26" s="2">
        <v>8</v>
      </c>
      <c r="P26" s="2">
        <v>4</v>
      </c>
      <c r="Q26" s="2">
        <v>8</v>
      </c>
      <c r="R26" s="2">
        <v>4</v>
      </c>
      <c r="S26" s="3">
        <v>46188</v>
      </c>
      <c r="T26" s="2"/>
      <c r="U26" s="2"/>
    </row>
    <row r="27" spans="1:21" x14ac:dyDescent="0.25">
      <c r="A27" s="1" t="s">
        <v>231</v>
      </c>
      <c r="B27" s="2">
        <v>558</v>
      </c>
      <c r="C27" s="2">
        <v>9201</v>
      </c>
      <c r="D27" s="34">
        <f t="shared" si="0"/>
        <v>60</v>
      </c>
      <c r="E27" s="2">
        <v>2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8</v>
      </c>
      <c r="L27" s="2">
        <v>4</v>
      </c>
      <c r="M27" s="2">
        <v>8</v>
      </c>
      <c r="N27" s="2">
        <v>4</v>
      </c>
      <c r="O27" s="2">
        <v>8</v>
      </c>
      <c r="P27" s="2">
        <v>4</v>
      </c>
      <c r="Q27" s="2">
        <v>8</v>
      </c>
      <c r="R27" s="2">
        <v>4</v>
      </c>
      <c r="S27" s="3">
        <v>46188</v>
      </c>
      <c r="T27" s="2"/>
      <c r="U27" s="2"/>
    </row>
    <row r="28" spans="1:21" x14ac:dyDescent="0.25">
      <c r="A28" s="1" t="s">
        <v>231</v>
      </c>
      <c r="B28" s="2">
        <v>559</v>
      </c>
      <c r="C28" s="2">
        <v>9201</v>
      </c>
      <c r="D28" s="34">
        <f t="shared" si="0"/>
        <v>60</v>
      </c>
      <c r="E28" s="2">
        <v>2</v>
      </c>
      <c r="F28" s="2">
        <v>2</v>
      </c>
      <c r="G28" s="2">
        <v>2</v>
      </c>
      <c r="H28" s="2">
        <v>2</v>
      </c>
      <c r="I28" s="2">
        <v>2</v>
      </c>
      <c r="J28" s="2">
        <v>2</v>
      </c>
      <c r="K28" s="2">
        <v>8</v>
      </c>
      <c r="L28" s="2">
        <v>4</v>
      </c>
      <c r="M28" s="2">
        <v>8</v>
      </c>
      <c r="N28" s="2">
        <v>4</v>
      </c>
      <c r="O28" s="2">
        <v>8</v>
      </c>
      <c r="P28" s="2">
        <v>4</v>
      </c>
      <c r="Q28" s="2">
        <v>8</v>
      </c>
      <c r="R28" s="2">
        <v>4</v>
      </c>
      <c r="S28" s="3">
        <v>46188</v>
      </c>
      <c r="T28" s="2"/>
      <c r="U28" s="2"/>
    </row>
    <row r="29" spans="1:21" x14ac:dyDescent="0.25">
      <c r="A29" s="1" t="s">
        <v>231</v>
      </c>
      <c r="B29" s="2">
        <v>560</v>
      </c>
      <c r="C29" s="2">
        <v>9237</v>
      </c>
      <c r="D29" s="34">
        <f t="shared" si="0"/>
        <v>60</v>
      </c>
      <c r="E29" s="2">
        <v>2</v>
      </c>
      <c r="F29" s="2">
        <v>2</v>
      </c>
      <c r="G29" s="2">
        <v>2</v>
      </c>
      <c r="H29" s="2">
        <v>2</v>
      </c>
      <c r="I29" s="2">
        <v>2</v>
      </c>
      <c r="J29" s="2">
        <v>2</v>
      </c>
      <c r="K29" s="2">
        <v>8</v>
      </c>
      <c r="L29" s="2">
        <v>4</v>
      </c>
      <c r="M29" s="2">
        <v>8</v>
      </c>
      <c r="N29" s="2">
        <v>4</v>
      </c>
      <c r="O29" s="2">
        <v>8</v>
      </c>
      <c r="P29" s="2">
        <v>4</v>
      </c>
      <c r="Q29" s="2">
        <v>8</v>
      </c>
      <c r="R29" s="2">
        <v>4</v>
      </c>
      <c r="S29" s="3">
        <v>46188</v>
      </c>
      <c r="T29" s="2"/>
      <c r="U29" s="2"/>
    </row>
    <row r="30" spans="1:21" x14ac:dyDescent="0.25">
      <c r="A30" s="1" t="s">
        <v>231</v>
      </c>
      <c r="B30" s="2">
        <v>561</v>
      </c>
      <c r="C30" s="2">
        <v>9240</v>
      </c>
      <c r="D30" s="34">
        <f t="shared" si="0"/>
        <v>12</v>
      </c>
      <c r="E30" s="2"/>
      <c r="F30" s="2"/>
      <c r="G30" s="2"/>
      <c r="H30" s="2"/>
      <c r="I30" s="2"/>
      <c r="J30" s="2"/>
      <c r="K30" s="2">
        <v>2</v>
      </c>
      <c r="L30" s="2">
        <v>1</v>
      </c>
      <c r="M30" s="2">
        <v>2</v>
      </c>
      <c r="N30" s="2">
        <v>1</v>
      </c>
      <c r="O30" s="2">
        <v>2</v>
      </c>
      <c r="P30" s="2">
        <v>1</v>
      </c>
      <c r="Q30" s="2">
        <v>2</v>
      </c>
      <c r="R30" s="2">
        <v>1</v>
      </c>
      <c r="S30" s="3">
        <v>46188</v>
      </c>
      <c r="T30" s="2"/>
      <c r="U30" s="2"/>
    </row>
    <row r="31" spans="1:21" x14ac:dyDescent="0.25">
      <c r="A31" s="1" t="s">
        <v>231</v>
      </c>
      <c r="B31" s="2">
        <v>562</v>
      </c>
      <c r="C31" s="2">
        <v>1002</v>
      </c>
      <c r="D31" s="34">
        <f t="shared" si="0"/>
        <v>12</v>
      </c>
      <c r="E31" s="2"/>
      <c r="F31" s="2"/>
      <c r="G31" s="2"/>
      <c r="H31" s="2"/>
      <c r="I31" s="2"/>
      <c r="J31" s="2"/>
      <c r="K31" s="2">
        <v>2</v>
      </c>
      <c r="L31" s="2">
        <v>1</v>
      </c>
      <c r="M31" s="2">
        <v>2</v>
      </c>
      <c r="N31" s="2">
        <v>1</v>
      </c>
      <c r="O31" s="2">
        <v>2</v>
      </c>
      <c r="P31" s="2">
        <v>1</v>
      </c>
      <c r="Q31" s="2">
        <v>2</v>
      </c>
      <c r="R31" s="2">
        <v>1</v>
      </c>
      <c r="S31" s="3">
        <v>46188</v>
      </c>
      <c r="T31" s="2"/>
      <c r="U31" s="2"/>
    </row>
    <row r="32" spans="1:21" x14ac:dyDescent="0.25">
      <c r="A32" s="1" t="s">
        <v>263</v>
      </c>
      <c r="B32" s="2">
        <v>563</v>
      </c>
      <c r="C32" s="2">
        <v>9201</v>
      </c>
      <c r="D32" s="34">
        <f t="shared" si="0"/>
        <v>24</v>
      </c>
      <c r="E32" s="2">
        <v>3</v>
      </c>
      <c r="F32" s="2">
        <v>1</v>
      </c>
      <c r="G32" s="2">
        <v>3</v>
      </c>
      <c r="H32" s="2">
        <v>1</v>
      </c>
      <c r="I32" s="2">
        <v>3</v>
      </c>
      <c r="J32" s="2">
        <v>1</v>
      </c>
      <c r="K32" s="2">
        <v>2</v>
      </c>
      <c r="L32" s="2">
        <v>2</v>
      </c>
      <c r="M32" s="2">
        <v>1</v>
      </c>
      <c r="N32" s="2">
        <v>1</v>
      </c>
      <c r="O32" s="2">
        <v>2</v>
      </c>
      <c r="P32" s="2">
        <v>1</v>
      </c>
      <c r="Q32" s="2">
        <v>1</v>
      </c>
      <c r="R32" s="2">
        <v>2</v>
      </c>
      <c r="S32" s="3">
        <v>46189</v>
      </c>
      <c r="T32" s="2"/>
      <c r="U32" s="2"/>
    </row>
    <row r="33" spans="1:21" x14ac:dyDescent="0.25">
      <c r="A33" s="1" t="s">
        <v>264</v>
      </c>
      <c r="B33" s="2">
        <v>564</v>
      </c>
      <c r="C33" s="2">
        <v>3000</v>
      </c>
      <c r="D33" s="34">
        <f t="shared" si="0"/>
        <v>22</v>
      </c>
      <c r="E33" s="2">
        <v>4</v>
      </c>
      <c r="F33" s="2"/>
      <c r="G33" s="2">
        <v>2</v>
      </c>
      <c r="H33" s="2"/>
      <c r="I33" s="2">
        <v>2</v>
      </c>
      <c r="J33" s="2"/>
      <c r="K33" s="2">
        <v>4</v>
      </c>
      <c r="L33" s="2"/>
      <c r="M33" s="2">
        <v>2</v>
      </c>
      <c r="N33" s="2"/>
      <c r="O33" s="2">
        <v>4</v>
      </c>
      <c r="P33" s="2"/>
      <c r="Q33" s="2">
        <v>4</v>
      </c>
      <c r="R33" s="2"/>
      <c r="S33" s="3">
        <v>46191</v>
      </c>
      <c r="T33" s="2"/>
      <c r="U33" s="2"/>
    </row>
    <row r="34" spans="1:21" x14ac:dyDescent="0.25">
      <c r="D34" s="34">
        <f>SUM(D3:D33)</f>
        <v>994</v>
      </c>
    </row>
    <row r="36" spans="1:21" ht="18.75" customHeight="1" x14ac:dyDescent="0.25">
      <c r="A36" s="63" t="s">
        <v>250</v>
      </c>
      <c r="B36" s="63"/>
      <c r="C36" s="63"/>
      <c r="D36" s="63"/>
      <c r="E36" s="100" t="s">
        <v>4</v>
      </c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2"/>
      <c r="U36" s="84" t="s">
        <v>246</v>
      </c>
    </row>
    <row r="37" spans="1:21" x14ac:dyDescent="0.25">
      <c r="A37" s="6" t="s">
        <v>0</v>
      </c>
      <c r="B37" s="6" t="s">
        <v>1</v>
      </c>
      <c r="C37" s="6" t="s">
        <v>3</v>
      </c>
      <c r="D37" s="12" t="s">
        <v>2</v>
      </c>
      <c r="E37" s="6">
        <v>22</v>
      </c>
      <c r="F37" s="6">
        <v>22.5</v>
      </c>
      <c r="G37" s="6">
        <v>23</v>
      </c>
      <c r="H37" s="6">
        <v>23.5</v>
      </c>
      <c r="I37" s="6">
        <v>24</v>
      </c>
      <c r="J37" s="6">
        <v>24.5</v>
      </c>
      <c r="K37" s="6">
        <v>25</v>
      </c>
      <c r="L37" s="6">
        <v>25.5</v>
      </c>
      <c r="M37" s="6">
        <v>26</v>
      </c>
      <c r="N37" s="6">
        <v>26.5</v>
      </c>
      <c r="O37" s="6">
        <v>27</v>
      </c>
      <c r="P37" s="6">
        <v>27.5</v>
      </c>
      <c r="Q37" s="6">
        <v>28</v>
      </c>
      <c r="R37" s="6">
        <v>28.5</v>
      </c>
      <c r="S37" s="6">
        <v>29</v>
      </c>
      <c r="T37" s="6">
        <v>30</v>
      </c>
      <c r="U37" s="107"/>
    </row>
    <row r="38" spans="1:21" x14ac:dyDescent="0.25">
      <c r="A38" s="1" t="s">
        <v>68</v>
      </c>
      <c r="B38" s="2">
        <v>531</v>
      </c>
      <c r="C38" s="2">
        <v>9210</v>
      </c>
      <c r="D38" s="34">
        <f>SUM(E38:N38)</f>
        <v>10</v>
      </c>
      <c r="E38" s="2">
        <v>2</v>
      </c>
      <c r="F38" s="2">
        <v>2</v>
      </c>
      <c r="G38" s="2">
        <v>2</v>
      </c>
      <c r="H38" s="2">
        <v>2</v>
      </c>
      <c r="I38" s="2">
        <v>2</v>
      </c>
      <c r="J38" s="2"/>
      <c r="K38" s="2"/>
      <c r="L38" s="2"/>
      <c r="M38" s="2"/>
      <c r="N38" s="2"/>
      <c r="O38" s="2"/>
      <c r="P38" s="2"/>
      <c r="Q38" s="2"/>
      <c r="R38" s="2"/>
      <c r="S38" s="10"/>
      <c r="T38" s="10"/>
      <c r="U38" s="13">
        <v>46188</v>
      </c>
    </row>
    <row r="39" spans="1:21" x14ac:dyDescent="0.25">
      <c r="A39" s="1" t="s">
        <v>29</v>
      </c>
      <c r="B39" s="2">
        <v>541</v>
      </c>
      <c r="C39" s="2">
        <v>2402</v>
      </c>
      <c r="D39" s="34">
        <f t="shared" ref="D39:D40" si="1">SUM(E39:N39)</f>
        <v>24</v>
      </c>
      <c r="E39" s="2">
        <v>2</v>
      </c>
      <c r="F39" s="2">
        <v>2</v>
      </c>
      <c r="G39" s="2">
        <v>4</v>
      </c>
      <c r="H39" s="2">
        <v>4</v>
      </c>
      <c r="I39" s="2">
        <v>4</v>
      </c>
      <c r="J39" s="2">
        <v>4</v>
      </c>
      <c r="K39" s="2">
        <v>4</v>
      </c>
      <c r="L39" s="2"/>
      <c r="M39" s="2"/>
      <c r="N39" s="2"/>
      <c r="O39" s="2"/>
      <c r="P39" s="2"/>
      <c r="Q39" s="2"/>
      <c r="R39" s="2"/>
      <c r="S39" s="10"/>
      <c r="T39" s="10"/>
      <c r="U39" s="13">
        <v>46188</v>
      </c>
    </row>
    <row r="40" spans="1:21" x14ac:dyDescent="0.25">
      <c r="A40" s="1" t="s">
        <v>29</v>
      </c>
      <c r="B40" s="2">
        <v>542</v>
      </c>
      <c r="C40" s="2">
        <v>2407</v>
      </c>
      <c r="D40" s="34">
        <f t="shared" si="1"/>
        <v>24</v>
      </c>
      <c r="E40" s="2">
        <v>2</v>
      </c>
      <c r="F40" s="2">
        <v>2</v>
      </c>
      <c r="G40" s="2">
        <v>4</v>
      </c>
      <c r="H40" s="2">
        <v>4</v>
      </c>
      <c r="I40" s="2">
        <v>4</v>
      </c>
      <c r="J40" s="2">
        <v>4</v>
      </c>
      <c r="K40" s="2">
        <v>4</v>
      </c>
      <c r="L40" s="2"/>
      <c r="M40" s="2"/>
      <c r="N40" s="2"/>
      <c r="O40" s="2"/>
      <c r="P40" s="2"/>
      <c r="Q40" s="2"/>
      <c r="R40" s="2"/>
      <c r="S40" s="10"/>
      <c r="T40" s="10"/>
      <c r="U40" s="13">
        <v>46188</v>
      </c>
    </row>
    <row r="41" spans="1:21" x14ac:dyDescent="0.25">
      <c r="A41" s="1" t="s">
        <v>241</v>
      </c>
      <c r="B41" s="2">
        <v>565</v>
      </c>
      <c r="C41" s="2">
        <v>2601</v>
      </c>
      <c r="D41" s="34">
        <f t="shared" ref="D41:D48" si="2">SUM(E41:T41)</f>
        <v>12</v>
      </c>
      <c r="E41" s="2"/>
      <c r="F41" s="2">
        <v>1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/>
      <c r="M41" s="2">
        <v>1</v>
      </c>
      <c r="N41" s="2"/>
      <c r="O41" s="2"/>
      <c r="P41" s="2"/>
      <c r="Q41" s="2"/>
      <c r="R41" s="2"/>
      <c r="S41" s="10"/>
      <c r="T41" s="10"/>
      <c r="U41" s="13">
        <v>46191</v>
      </c>
    </row>
    <row r="42" spans="1:21" x14ac:dyDescent="0.25">
      <c r="A42" s="1" t="s">
        <v>241</v>
      </c>
      <c r="B42" s="2">
        <v>566</v>
      </c>
      <c r="C42" s="2">
        <v>2601</v>
      </c>
      <c r="D42" s="34">
        <f t="shared" si="2"/>
        <v>12</v>
      </c>
      <c r="E42" s="2"/>
      <c r="F42" s="2">
        <v>1</v>
      </c>
      <c r="G42" s="2">
        <v>2</v>
      </c>
      <c r="H42" s="2">
        <v>2</v>
      </c>
      <c r="I42" s="2">
        <v>2</v>
      </c>
      <c r="J42" s="2">
        <v>2</v>
      </c>
      <c r="K42" s="2">
        <v>2</v>
      </c>
      <c r="L42" s="2"/>
      <c r="M42" s="2">
        <v>1</v>
      </c>
      <c r="N42" s="2"/>
      <c r="O42" s="2"/>
      <c r="P42" s="2"/>
      <c r="Q42" s="2"/>
      <c r="R42" s="2"/>
      <c r="S42" s="10"/>
      <c r="T42" s="10"/>
      <c r="U42" s="13">
        <v>46191</v>
      </c>
    </row>
    <row r="43" spans="1:21" x14ac:dyDescent="0.25">
      <c r="A43" s="1" t="s">
        <v>241</v>
      </c>
      <c r="B43" s="2">
        <v>567</v>
      </c>
      <c r="C43" s="2">
        <v>2601</v>
      </c>
      <c r="D43" s="34">
        <f t="shared" si="2"/>
        <v>12</v>
      </c>
      <c r="E43" s="2"/>
      <c r="F43" s="2">
        <v>1</v>
      </c>
      <c r="G43" s="2">
        <v>2</v>
      </c>
      <c r="H43" s="2">
        <v>2</v>
      </c>
      <c r="I43" s="2">
        <v>2</v>
      </c>
      <c r="J43" s="2">
        <v>2</v>
      </c>
      <c r="K43" s="2">
        <v>2</v>
      </c>
      <c r="L43" s="2"/>
      <c r="M43" s="2">
        <v>1</v>
      </c>
      <c r="N43" s="2"/>
      <c r="O43" s="2"/>
      <c r="P43" s="2"/>
      <c r="Q43" s="2"/>
      <c r="R43" s="2"/>
      <c r="S43" s="10"/>
      <c r="T43" s="10"/>
      <c r="U43" s="13">
        <v>46191</v>
      </c>
    </row>
    <row r="44" spans="1:21" x14ac:dyDescent="0.25">
      <c r="A44" s="1" t="s">
        <v>241</v>
      </c>
      <c r="B44" s="2">
        <v>568</v>
      </c>
      <c r="C44" s="2">
        <v>2601</v>
      </c>
      <c r="D44" s="34">
        <f t="shared" si="2"/>
        <v>12</v>
      </c>
      <c r="E44" s="2"/>
      <c r="F44" s="2"/>
      <c r="G44" s="2">
        <v>2</v>
      </c>
      <c r="H44" s="2">
        <v>2</v>
      </c>
      <c r="I44" s="2">
        <v>2</v>
      </c>
      <c r="J44" s="2">
        <v>2</v>
      </c>
      <c r="K44" s="2">
        <v>2</v>
      </c>
      <c r="L44" s="2">
        <v>1</v>
      </c>
      <c r="M44" s="2">
        <v>1</v>
      </c>
      <c r="N44" s="2"/>
      <c r="O44" s="2"/>
      <c r="P44" s="2"/>
      <c r="Q44" s="2"/>
      <c r="R44" s="2"/>
      <c r="S44" s="10"/>
      <c r="T44" s="10"/>
      <c r="U44" s="13">
        <v>46191</v>
      </c>
    </row>
    <row r="45" spans="1:21" x14ac:dyDescent="0.25">
      <c r="A45" s="1" t="s">
        <v>241</v>
      </c>
      <c r="B45" s="2">
        <v>569</v>
      </c>
      <c r="C45" s="2">
        <v>2601</v>
      </c>
      <c r="D45" s="34">
        <f t="shared" si="2"/>
        <v>12</v>
      </c>
      <c r="E45" s="2"/>
      <c r="F45" s="2"/>
      <c r="G45" s="2">
        <v>2</v>
      </c>
      <c r="H45" s="2">
        <v>2</v>
      </c>
      <c r="I45" s="2">
        <v>2</v>
      </c>
      <c r="J45" s="2">
        <v>2</v>
      </c>
      <c r="K45" s="2">
        <v>2</v>
      </c>
      <c r="L45" s="2">
        <v>1</v>
      </c>
      <c r="M45" s="2">
        <v>1</v>
      </c>
      <c r="N45" s="2"/>
      <c r="O45" s="2"/>
      <c r="P45" s="2"/>
      <c r="Q45" s="2"/>
      <c r="R45" s="2"/>
      <c r="S45" s="10"/>
      <c r="T45" s="10"/>
      <c r="U45" s="13">
        <v>46191</v>
      </c>
    </row>
    <row r="46" spans="1:21" x14ac:dyDescent="0.25">
      <c r="A46" s="1" t="s">
        <v>241</v>
      </c>
      <c r="B46" s="2">
        <v>570</v>
      </c>
      <c r="C46" s="2">
        <v>2601</v>
      </c>
      <c r="D46" s="34">
        <f t="shared" si="2"/>
        <v>12</v>
      </c>
      <c r="E46" s="2"/>
      <c r="F46" s="2"/>
      <c r="G46" s="2">
        <v>2</v>
      </c>
      <c r="H46" s="2">
        <v>2</v>
      </c>
      <c r="I46" s="2">
        <v>2</v>
      </c>
      <c r="J46" s="2">
        <v>2</v>
      </c>
      <c r="K46" s="2">
        <v>2</v>
      </c>
      <c r="L46" s="2">
        <v>1</v>
      </c>
      <c r="M46" s="2">
        <v>1</v>
      </c>
      <c r="N46" s="2"/>
      <c r="O46" s="2"/>
      <c r="P46" s="2"/>
      <c r="Q46" s="2"/>
      <c r="R46" s="2"/>
      <c r="S46" s="10"/>
      <c r="T46" s="10"/>
      <c r="U46" s="13">
        <v>46191</v>
      </c>
    </row>
    <row r="47" spans="1:21" x14ac:dyDescent="0.25">
      <c r="A47" s="1" t="s">
        <v>264</v>
      </c>
      <c r="B47" s="2">
        <v>571</v>
      </c>
      <c r="C47" s="2" t="s">
        <v>265</v>
      </c>
      <c r="D47" s="34">
        <f t="shared" si="2"/>
        <v>44</v>
      </c>
      <c r="E47" s="2"/>
      <c r="F47" s="2"/>
      <c r="G47" s="2"/>
      <c r="H47" s="2"/>
      <c r="I47" s="2"/>
      <c r="J47" s="2"/>
      <c r="K47" s="2">
        <v>3</v>
      </c>
      <c r="L47" s="2">
        <v>2</v>
      </c>
      <c r="M47" s="2">
        <v>5</v>
      </c>
      <c r="N47" s="2">
        <v>5</v>
      </c>
      <c r="O47" s="2">
        <v>9</v>
      </c>
      <c r="P47" s="2">
        <v>6</v>
      </c>
      <c r="Q47" s="2">
        <v>6</v>
      </c>
      <c r="R47" s="2">
        <v>4</v>
      </c>
      <c r="S47" s="10">
        <v>4</v>
      </c>
      <c r="T47" s="10"/>
      <c r="U47" s="13">
        <v>46191</v>
      </c>
    </row>
    <row r="48" spans="1:21" x14ac:dyDescent="0.25">
      <c r="A48" s="1" t="s">
        <v>264</v>
      </c>
      <c r="B48" s="2">
        <v>572</v>
      </c>
      <c r="C48" s="2" t="s">
        <v>265</v>
      </c>
      <c r="D48" s="34">
        <f t="shared" si="2"/>
        <v>30</v>
      </c>
      <c r="E48" s="2"/>
      <c r="F48" s="2"/>
      <c r="G48" s="2"/>
      <c r="H48" s="2"/>
      <c r="I48" s="2"/>
      <c r="J48" s="2"/>
      <c r="K48" s="2">
        <v>2</v>
      </c>
      <c r="L48" s="2">
        <v>2</v>
      </c>
      <c r="M48" s="2">
        <v>6</v>
      </c>
      <c r="N48" s="2">
        <v>3</v>
      </c>
      <c r="O48" s="2">
        <v>6</v>
      </c>
      <c r="P48" s="2">
        <v>3</v>
      </c>
      <c r="Q48" s="2">
        <v>4</v>
      </c>
      <c r="R48" s="2">
        <v>3</v>
      </c>
      <c r="S48" s="10"/>
      <c r="T48" s="10">
        <v>1</v>
      </c>
      <c r="U48" s="13">
        <v>46191</v>
      </c>
    </row>
    <row r="49" spans="3:4" x14ac:dyDescent="0.25">
      <c r="D49" s="34">
        <f>SUM(D38:D48)</f>
        <v>204</v>
      </c>
    </row>
    <row r="50" spans="3:4" x14ac:dyDescent="0.25">
      <c r="C50" s="48">
        <f>D34+D49</f>
        <v>1198</v>
      </c>
    </row>
  </sheetData>
  <mergeCells count="7">
    <mergeCell ref="U36:U37"/>
    <mergeCell ref="E36:T36"/>
    <mergeCell ref="A1:D1"/>
    <mergeCell ref="E1:R1"/>
    <mergeCell ref="S1:S2"/>
    <mergeCell ref="T1:U1"/>
    <mergeCell ref="A36:D36"/>
  </mergeCells>
  <pageMargins left="0.7" right="0.7" top="0.75" bottom="0.75" header="0.3" footer="0.3"/>
  <pageSetup orientation="portrait" horizontalDpi="0" verticalDpi="0" r:id="rId1"/>
  <ignoredErrors>
    <ignoredError sqref="D39:D40 D3:D26 D31:D33 D27:D30 D41:D48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U78"/>
  <sheetViews>
    <sheetView topLeftCell="A19" workbookViewId="0">
      <selection activeCell="A37" sqref="A37:R37"/>
    </sheetView>
  </sheetViews>
  <sheetFormatPr defaultColWidth="11.42578125" defaultRowHeight="15" x14ac:dyDescent="0.25"/>
  <cols>
    <col min="1" max="1" width="21.28515625" customWidth="1"/>
    <col min="2" max="2" width="8.140625" customWidth="1"/>
    <col min="3" max="3" width="10.140625" customWidth="1"/>
    <col min="4" max="4" width="9" customWidth="1"/>
    <col min="5" max="5" width="4.7109375" customWidth="1"/>
    <col min="6" max="6" width="4.85546875" customWidth="1"/>
    <col min="7" max="7" width="4.5703125" customWidth="1"/>
    <col min="8" max="8" width="5.85546875" customWidth="1"/>
    <col min="9" max="9" width="5" customWidth="1"/>
    <col min="10" max="10" width="5.140625" customWidth="1"/>
    <col min="11" max="11" width="4.7109375" customWidth="1"/>
    <col min="12" max="12" width="5.140625" customWidth="1"/>
    <col min="13" max="13" width="5.42578125" customWidth="1"/>
    <col min="14" max="14" width="5.5703125" customWidth="1"/>
    <col min="15" max="15" width="4.7109375" customWidth="1"/>
    <col min="16" max="16" width="5.28515625" customWidth="1"/>
    <col min="17" max="17" width="4.7109375" customWidth="1"/>
    <col min="18" max="18" width="5.7109375" customWidth="1"/>
    <col min="19" max="19" width="14" customWidth="1"/>
  </cols>
  <sheetData>
    <row r="1" spans="1:21" ht="18.75" x14ac:dyDescent="0.25">
      <c r="A1" s="63" t="s">
        <v>266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226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  <c r="T2" s="22" t="s">
        <v>9</v>
      </c>
      <c r="U2" s="22" t="s">
        <v>10</v>
      </c>
    </row>
    <row r="3" spans="1:21" x14ac:dyDescent="0.25">
      <c r="A3" s="1" t="s">
        <v>267</v>
      </c>
      <c r="B3" s="2">
        <v>586</v>
      </c>
      <c r="C3" s="2">
        <v>9210</v>
      </c>
      <c r="D3" s="2">
        <f>SUM(E3:R3)</f>
        <v>60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4</v>
      </c>
      <c r="K3" s="2">
        <v>6</v>
      </c>
      <c r="L3" s="2">
        <v>3</v>
      </c>
      <c r="M3" s="2">
        <v>6</v>
      </c>
      <c r="N3" s="2">
        <v>3</v>
      </c>
      <c r="O3" s="2">
        <v>6</v>
      </c>
      <c r="P3" s="2">
        <v>3</v>
      </c>
      <c r="Q3" s="2">
        <v>6</v>
      </c>
      <c r="R3" s="2">
        <v>3</v>
      </c>
      <c r="S3" s="3">
        <v>46195</v>
      </c>
      <c r="T3" s="2"/>
      <c r="U3" s="2"/>
    </row>
    <row r="4" spans="1:21" x14ac:dyDescent="0.25">
      <c r="A4" s="1" t="s">
        <v>267</v>
      </c>
      <c r="B4" s="2">
        <v>587</v>
      </c>
      <c r="C4" s="2">
        <v>9004</v>
      </c>
      <c r="D4" s="2">
        <f t="shared" ref="D4:D28" si="0">SUM(E4:R4)</f>
        <v>60</v>
      </c>
      <c r="E4" s="2">
        <v>4</v>
      </c>
      <c r="F4" s="2">
        <v>4</v>
      </c>
      <c r="G4" s="2">
        <v>4</v>
      </c>
      <c r="H4" s="2">
        <v>4</v>
      </c>
      <c r="I4" s="2">
        <v>4</v>
      </c>
      <c r="J4" s="2">
        <v>4</v>
      </c>
      <c r="K4" s="2">
        <v>6</v>
      </c>
      <c r="L4" s="2">
        <v>3</v>
      </c>
      <c r="M4" s="2">
        <v>6</v>
      </c>
      <c r="N4" s="2">
        <v>3</v>
      </c>
      <c r="O4" s="2">
        <v>6</v>
      </c>
      <c r="P4" s="2">
        <v>3</v>
      </c>
      <c r="Q4" s="2">
        <v>6</v>
      </c>
      <c r="R4" s="2">
        <v>3</v>
      </c>
      <c r="S4" s="3">
        <v>46195</v>
      </c>
      <c r="T4" s="2"/>
      <c r="U4" s="2"/>
    </row>
    <row r="5" spans="1:21" x14ac:dyDescent="0.25">
      <c r="A5" s="1" t="s">
        <v>267</v>
      </c>
      <c r="B5" s="2">
        <v>588</v>
      </c>
      <c r="C5" s="2">
        <v>9004</v>
      </c>
      <c r="D5" s="2">
        <f t="shared" si="0"/>
        <v>60</v>
      </c>
      <c r="E5" s="2">
        <v>4</v>
      </c>
      <c r="F5" s="2">
        <v>4</v>
      </c>
      <c r="G5" s="2">
        <v>4</v>
      </c>
      <c r="H5" s="2">
        <v>4</v>
      </c>
      <c r="I5" s="2">
        <v>4</v>
      </c>
      <c r="J5" s="2">
        <v>4</v>
      </c>
      <c r="K5" s="2">
        <v>6</v>
      </c>
      <c r="L5" s="2">
        <v>3</v>
      </c>
      <c r="M5" s="2">
        <v>6</v>
      </c>
      <c r="N5" s="2">
        <v>3</v>
      </c>
      <c r="O5" s="2">
        <v>6</v>
      </c>
      <c r="P5" s="2">
        <v>3</v>
      </c>
      <c r="Q5" s="2">
        <v>6</v>
      </c>
      <c r="R5" s="2">
        <v>3</v>
      </c>
      <c r="S5" s="3">
        <v>46195</v>
      </c>
      <c r="T5" s="2"/>
      <c r="U5" s="2"/>
    </row>
    <row r="6" spans="1:21" x14ac:dyDescent="0.25">
      <c r="A6" s="1" t="s">
        <v>267</v>
      </c>
      <c r="B6" s="2">
        <v>589</v>
      </c>
      <c r="C6" s="2">
        <v>1001</v>
      </c>
      <c r="D6" s="2">
        <f t="shared" si="0"/>
        <v>60</v>
      </c>
      <c r="E6" s="2">
        <v>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v>6</v>
      </c>
      <c r="L6" s="2">
        <v>3</v>
      </c>
      <c r="M6" s="2">
        <v>6</v>
      </c>
      <c r="N6" s="2">
        <v>3</v>
      </c>
      <c r="O6" s="2">
        <v>6</v>
      </c>
      <c r="P6" s="2">
        <v>3</v>
      </c>
      <c r="Q6" s="2">
        <v>6</v>
      </c>
      <c r="R6" s="2">
        <v>3</v>
      </c>
      <c r="S6" s="3">
        <v>46195</v>
      </c>
      <c r="T6" s="2"/>
      <c r="U6" s="2"/>
    </row>
    <row r="7" spans="1:21" x14ac:dyDescent="0.25">
      <c r="A7" s="1" t="s">
        <v>267</v>
      </c>
      <c r="B7" s="2">
        <v>590</v>
      </c>
      <c r="C7" s="2">
        <v>9209</v>
      </c>
      <c r="D7" s="2">
        <f t="shared" si="0"/>
        <v>60</v>
      </c>
      <c r="E7" s="2">
        <v>4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6</v>
      </c>
      <c r="L7" s="2">
        <v>3</v>
      </c>
      <c r="M7" s="2">
        <v>6</v>
      </c>
      <c r="N7" s="2">
        <v>3</v>
      </c>
      <c r="O7" s="2">
        <v>6</v>
      </c>
      <c r="P7" s="2">
        <v>3</v>
      </c>
      <c r="Q7" s="2">
        <v>6</v>
      </c>
      <c r="R7" s="2">
        <v>3</v>
      </c>
      <c r="S7" s="3">
        <v>46195</v>
      </c>
      <c r="T7" s="2"/>
      <c r="U7" s="2"/>
    </row>
    <row r="8" spans="1:21" x14ac:dyDescent="0.25">
      <c r="A8" s="1" t="s">
        <v>29</v>
      </c>
      <c r="B8" s="2">
        <v>591</v>
      </c>
      <c r="C8" s="2">
        <v>9258</v>
      </c>
      <c r="D8" s="2">
        <f t="shared" si="0"/>
        <v>24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2</v>
      </c>
      <c r="K8" s="2">
        <v>2</v>
      </c>
      <c r="L8" s="2">
        <v>1</v>
      </c>
      <c r="M8" s="2">
        <v>2</v>
      </c>
      <c r="N8" s="2">
        <v>1</v>
      </c>
      <c r="O8" s="2">
        <v>2</v>
      </c>
      <c r="P8" s="2">
        <v>1</v>
      </c>
      <c r="Q8" s="2">
        <v>2</v>
      </c>
      <c r="R8" s="2">
        <v>1</v>
      </c>
      <c r="S8" s="3">
        <v>46195</v>
      </c>
      <c r="T8" s="2"/>
      <c r="U8" s="2"/>
    </row>
    <row r="9" spans="1:21" x14ac:dyDescent="0.25">
      <c r="A9" s="1" t="s">
        <v>29</v>
      </c>
      <c r="B9" s="2">
        <v>592</v>
      </c>
      <c r="C9" s="2">
        <v>2601</v>
      </c>
      <c r="D9" s="2">
        <f t="shared" si="0"/>
        <v>24</v>
      </c>
      <c r="E9" s="2">
        <v>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2</v>
      </c>
      <c r="L9" s="2">
        <v>1</v>
      </c>
      <c r="M9" s="2">
        <v>2</v>
      </c>
      <c r="N9" s="2">
        <v>1</v>
      </c>
      <c r="O9" s="2">
        <v>2</v>
      </c>
      <c r="P9" s="2">
        <v>1</v>
      </c>
      <c r="Q9" s="2">
        <v>2</v>
      </c>
      <c r="R9" s="2">
        <v>1</v>
      </c>
      <c r="S9" s="3">
        <v>46195</v>
      </c>
      <c r="T9" s="2"/>
      <c r="U9" s="2"/>
    </row>
    <row r="10" spans="1:21" x14ac:dyDescent="0.25">
      <c r="A10" s="1" t="s">
        <v>29</v>
      </c>
      <c r="B10" s="2">
        <v>593</v>
      </c>
      <c r="C10" s="2">
        <v>9270</v>
      </c>
      <c r="D10" s="2">
        <f t="shared" si="0"/>
        <v>24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1</v>
      </c>
      <c r="M10" s="2">
        <v>2</v>
      </c>
      <c r="N10" s="2">
        <v>1</v>
      </c>
      <c r="O10" s="2">
        <v>2</v>
      </c>
      <c r="P10" s="2">
        <v>1</v>
      </c>
      <c r="Q10" s="2">
        <v>2</v>
      </c>
      <c r="R10" s="2">
        <v>1</v>
      </c>
      <c r="S10" s="3">
        <v>46195</v>
      </c>
      <c r="T10" s="2"/>
      <c r="U10" s="2"/>
    </row>
    <row r="11" spans="1:21" x14ac:dyDescent="0.25">
      <c r="A11" s="1" t="s">
        <v>29</v>
      </c>
      <c r="B11" s="2">
        <v>594</v>
      </c>
      <c r="C11" s="2">
        <v>9270</v>
      </c>
      <c r="D11" s="2">
        <f t="shared" si="0"/>
        <v>24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1</v>
      </c>
      <c r="M11" s="2">
        <v>2</v>
      </c>
      <c r="N11" s="2">
        <v>1</v>
      </c>
      <c r="O11" s="2">
        <v>2</v>
      </c>
      <c r="P11" s="2">
        <v>1</v>
      </c>
      <c r="Q11" s="2">
        <v>2</v>
      </c>
      <c r="R11" s="2">
        <v>1</v>
      </c>
      <c r="S11" s="3">
        <v>46195</v>
      </c>
      <c r="T11" s="2"/>
      <c r="U11" s="2"/>
    </row>
    <row r="12" spans="1:21" x14ac:dyDescent="0.25">
      <c r="A12" s="1" t="s">
        <v>29</v>
      </c>
      <c r="B12" s="2">
        <v>595</v>
      </c>
      <c r="C12" s="2">
        <v>9273</v>
      </c>
      <c r="D12" s="2">
        <f t="shared" si="0"/>
        <v>24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1</v>
      </c>
      <c r="M12" s="2">
        <v>2</v>
      </c>
      <c r="N12" s="2">
        <v>1</v>
      </c>
      <c r="O12" s="2">
        <v>2</v>
      </c>
      <c r="P12" s="2">
        <v>1</v>
      </c>
      <c r="Q12" s="2">
        <v>2</v>
      </c>
      <c r="R12" s="2">
        <v>1</v>
      </c>
      <c r="S12" s="3">
        <v>46195</v>
      </c>
      <c r="T12" s="2"/>
      <c r="U12" s="2"/>
    </row>
    <row r="13" spans="1:21" x14ac:dyDescent="0.25">
      <c r="A13" s="1" t="s">
        <v>29</v>
      </c>
      <c r="B13" s="2">
        <v>596</v>
      </c>
      <c r="C13" s="2">
        <v>9235</v>
      </c>
      <c r="D13" s="2">
        <f t="shared" si="0"/>
        <v>36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4</v>
      </c>
      <c r="L13" s="2">
        <v>2</v>
      </c>
      <c r="M13" s="2">
        <v>4</v>
      </c>
      <c r="N13" s="2">
        <v>2</v>
      </c>
      <c r="O13" s="2">
        <v>4</v>
      </c>
      <c r="P13" s="2">
        <v>2</v>
      </c>
      <c r="Q13" s="2">
        <v>4</v>
      </c>
      <c r="R13" s="2">
        <v>2</v>
      </c>
      <c r="S13" s="3">
        <v>46195</v>
      </c>
      <c r="T13" s="2"/>
      <c r="U13" s="2"/>
    </row>
    <row r="14" spans="1:21" x14ac:dyDescent="0.25">
      <c r="A14" s="1" t="s">
        <v>29</v>
      </c>
      <c r="B14" s="2">
        <v>597</v>
      </c>
      <c r="C14" s="2">
        <v>9239</v>
      </c>
      <c r="D14" s="2">
        <f t="shared" si="0"/>
        <v>36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4</v>
      </c>
      <c r="L14" s="2">
        <v>2</v>
      </c>
      <c r="M14" s="2">
        <v>4</v>
      </c>
      <c r="N14" s="2">
        <v>2</v>
      </c>
      <c r="O14" s="2">
        <v>4</v>
      </c>
      <c r="P14" s="2">
        <v>2</v>
      </c>
      <c r="Q14" s="2">
        <v>4</v>
      </c>
      <c r="R14" s="2">
        <v>2</v>
      </c>
      <c r="S14" s="3">
        <v>46195</v>
      </c>
      <c r="T14" s="2"/>
      <c r="U14" s="2"/>
    </row>
    <row r="15" spans="1:21" x14ac:dyDescent="0.25">
      <c r="A15" s="1" t="s">
        <v>29</v>
      </c>
      <c r="B15" s="2">
        <v>598</v>
      </c>
      <c r="C15" s="2">
        <v>9271</v>
      </c>
      <c r="D15" s="2">
        <f t="shared" si="0"/>
        <v>36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4</v>
      </c>
      <c r="L15" s="2">
        <v>2</v>
      </c>
      <c r="M15" s="2">
        <v>4</v>
      </c>
      <c r="N15" s="2">
        <v>2</v>
      </c>
      <c r="O15" s="2">
        <v>4</v>
      </c>
      <c r="P15" s="2">
        <v>2</v>
      </c>
      <c r="Q15" s="2">
        <v>4</v>
      </c>
      <c r="R15" s="2">
        <v>2</v>
      </c>
      <c r="S15" s="3">
        <v>46195</v>
      </c>
      <c r="T15" s="2"/>
      <c r="U15" s="2"/>
    </row>
    <row r="16" spans="1:21" x14ac:dyDescent="0.25">
      <c r="A16" s="1" t="s">
        <v>65</v>
      </c>
      <c r="B16" s="2">
        <v>599</v>
      </c>
      <c r="C16" s="2" t="s">
        <v>30</v>
      </c>
      <c r="D16" s="2">
        <f t="shared" si="0"/>
        <v>18</v>
      </c>
      <c r="E16" s="2">
        <v>3</v>
      </c>
      <c r="F16" s="2">
        <v>3</v>
      </c>
      <c r="G16" s="2">
        <v>2</v>
      </c>
      <c r="H16" s="2">
        <v>2</v>
      </c>
      <c r="I16" s="2">
        <v>4</v>
      </c>
      <c r="J16" s="2">
        <v>4</v>
      </c>
      <c r="K16" s="2"/>
      <c r="L16" s="2"/>
      <c r="M16" s="2"/>
      <c r="N16" s="2"/>
      <c r="O16" s="2"/>
      <c r="P16" s="2"/>
      <c r="Q16" s="2"/>
      <c r="R16" s="2"/>
      <c r="S16" s="3">
        <v>46195</v>
      </c>
      <c r="T16" s="2"/>
      <c r="U16" s="2"/>
    </row>
    <row r="17" spans="1:21" x14ac:dyDescent="0.25">
      <c r="A17" s="1" t="s">
        <v>65</v>
      </c>
      <c r="B17" s="2">
        <v>600</v>
      </c>
      <c r="C17" s="2">
        <v>9201</v>
      </c>
      <c r="D17" s="2">
        <f t="shared" si="0"/>
        <v>36</v>
      </c>
      <c r="E17" s="2">
        <v>4</v>
      </c>
      <c r="F17" s="2">
        <v>5</v>
      </c>
      <c r="G17" s="2">
        <v>7</v>
      </c>
      <c r="H17" s="2">
        <v>9</v>
      </c>
      <c r="I17" s="2">
        <v>5</v>
      </c>
      <c r="J17" s="2">
        <v>6</v>
      </c>
      <c r="K17" s="2"/>
      <c r="L17" s="2"/>
      <c r="M17" s="2"/>
      <c r="N17" s="2"/>
      <c r="O17" s="2"/>
      <c r="P17" s="2"/>
      <c r="Q17" s="2"/>
      <c r="R17" s="2"/>
      <c r="S17" s="3">
        <v>46195</v>
      </c>
      <c r="T17" s="2"/>
      <c r="U17" s="2"/>
    </row>
    <row r="18" spans="1:21" x14ac:dyDescent="0.25">
      <c r="A18" s="1" t="s">
        <v>65</v>
      </c>
      <c r="B18" s="2">
        <v>601</v>
      </c>
      <c r="C18" s="2">
        <v>9208</v>
      </c>
      <c r="D18" s="2">
        <f t="shared" si="0"/>
        <v>36</v>
      </c>
      <c r="E18" s="2">
        <v>8</v>
      </c>
      <c r="F18" s="2">
        <v>7</v>
      </c>
      <c r="G18" s="2">
        <v>4</v>
      </c>
      <c r="H18" s="2">
        <v>5</v>
      </c>
      <c r="I18" s="2">
        <v>6</v>
      </c>
      <c r="J18" s="2">
        <v>6</v>
      </c>
      <c r="K18" s="2"/>
      <c r="L18" s="2"/>
      <c r="M18" s="2"/>
      <c r="N18" s="2"/>
      <c r="O18" s="2"/>
      <c r="P18" s="2"/>
      <c r="Q18" s="2"/>
      <c r="R18" s="2"/>
      <c r="S18" s="3">
        <v>46195</v>
      </c>
      <c r="T18" s="2"/>
      <c r="U18" s="2"/>
    </row>
    <row r="19" spans="1:21" x14ac:dyDescent="0.25">
      <c r="A19" s="1" t="s">
        <v>65</v>
      </c>
      <c r="B19" s="2">
        <v>602</v>
      </c>
      <c r="C19" s="2">
        <v>9242</v>
      </c>
      <c r="D19" s="2">
        <f t="shared" si="0"/>
        <v>60</v>
      </c>
      <c r="E19" s="2">
        <v>8</v>
      </c>
      <c r="F19" s="2">
        <v>8</v>
      </c>
      <c r="G19" s="2">
        <v>10</v>
      </c>
      <c r="H19" s="2">
        <v>10</v>
      </c>
      <c r="I19" s="2">
        <v>15</v>
      </c>
      <c r="J19" s="2">
        <v>9</v>
      </c>
      <c r="K19" s="2"/>
      <c r="L19" s="2"/>
      <c r="M19" s="2"/>
      <c r="N19" s="2"/>
      <c r="O19" s="2"/>
      <c r="P19" s="2"/>
      <c r="Q19" s="2"/>
      <c r="R19" s="2"/>
      <c r="S19" s="3">
        <v>46195</v>
      </c>
      <c r="T19" s="2"/>
      <c r="U19" s="2"/>
    </row>
    <row r="20" spans="1:21" x14ac:dyDescent="0.25">
      <c r="A20" s="1" t="s">
        <v>65</v>
      </c>
      <c r="B20" s="2">
        <v>603</v>
      </c>
      <c r="C20" s="2">
        <v>9263</v>
      </c>
      <c r="D20" s="2">
        <f t="shared" si="0"/>
        <v>84</v>
      </c>
      <c r="E20" s="2">
        <v>14</v>
      </c>
      <c r="F20" s="2">
        <v>16</v>
      </c>
      <c r="G20" s="2">
        <v>19</v>
      </c>
      <c r="H20" s="2">
        <v>11</v>
      </c>
      <c r="I20" s="2">
        <v>10</v>
      </c>
      <c r="J20" s="2">
        <v>14</v>
      </c>
      <c r="K20" s="2"/>
      <c r="L20" s="2"/>
      <c r="M20" s="2"/>
      <c r="N20" s="2"/>
      <c r="O20" s="2"/>
      <c r="P20" s="2"/>
      <c r="Q20" s="2"/>
      <c r="R20" s="2"/>
      <c r="S20" s="3">
        <v>46195</v>
      </c>
      <c r="T20" s="2"/>
      <c r="U20" s="2"/>
    </row>
    <row r="21" spans="1:21" x14ac:dyDescent="0.25">
      <c r="A21" s="1" t="s">
        <v>268</v>
      </c>
      <c r="B21" s="2">
        <v>604</v>
      </c>
      <c r="C21" s="2">
        <v>9202</v>
      </c>
      <c r="D21" s="2">
        <f t="shared" si="0"/>
        <v>24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1</v>
      </c>
      <c r="M21" s="2">
        <v>2</v>
      </c>
      <c r="N21" s="2">
        <v>1</v>
      </c>
      <c r="O21" s="2">
        <v>2</v>
      </c>
      <c r="P21" s="2">
        <v>1</v>
      </c>
      <c r="Q21" s="2">
        <v>2</v>
      </c>
      <c r="R21" s="2">
        <v>1</v>
      </c>
      <c r="S21" s="3">
        <v>46195</v>
      </c>
      <c r="T21" s="2"/>
      <c r="U21" s="2"/>
    </row>
    <row r="22" spans="1:21" x14ac:dyDescent="0.25">
      <c r="A22" s="1" t="s">
        <v>268</v>
      </c>
      <c r="B22" s="2">
        <v>605</v>
      </c>
      <c r="C22" s="2">
        <v>9210</v>
      </c>
      <c r="D22" s="2">
        <f t="shared" si="0"/>
        <v>12</v>
      </c>
      <c r="E22" s="2"/>
      <c r="F22" s="2"/>
      <c r="G22" s="2"/>
      <c r="H22" s="2"/>
      <c r="I22" s="2"/>
      <c r="J22" s="2"/>
      <c r="K22" s="2">
        <v>2</v>
      </c>
      <c r="L22" s="2">
        <v>1</v>
      </c>
      <c r="M22" s="2">
        <v>2</v>
      </c>
      <c r="N22" s="2">
        <v>1</v>
      </c>
      <c r="O22" s="2">
        <v>2</v>
      </c>
      <c r="P22" s="2">
        <v>1</v>
      </c>
      <c r="Q22" s="2">
        <v>2</v>
      </c>
      <c r="R22" s="2">
        <v>1</v>
      </c>
      <c r="S22" s="3">
        <v>46195</v>
      </c>
      <c r="T22" s="2"/>
      <c r="U22" s="2"/>
    </row>
    <row r="23" spans="1:21" x14ac:dyDescent="0.25">
      <c r="A23" s="1" t="s">
        <v>268</v>
      </c>
      <c r="B23" s="2">
        <v>606</v>
      </c>
      <c r="C23" s="2">
        <v>9208</v>
      </c>
      <c r="D23" s="2">
        <f t="shared" si="0"/>
        <v>12</v>
      </c>
      <c r="E23" s="2"/>
      <c r="F23" s="2"/>
      <c r="G23" s="2"/>
      <c r="H23" s="2"/>
      <c r="I23" s="2"/>
      <c r="J23" s="2"/>
      <c r="K23" s="2">
        <v>2</v>
      </c>
      <c r="L23" s="2">
        <v>1</v>
      </c>
      <c r="M23" s="2">
        <v>2</v>
      </c>
      <c r="N23" s="2">
        <v>1</v>
      </c>
      <c r="O23" s="2">
        <v>2</v>
      </c>
      <c r="P23" s="2">
        <v>1</v>
      </c>
      <c r="Q23" s="2">
        <v>2</v>
      </c>
      <c r="R23" s="2">
        <v>1</v>
      </c>
      <c r="S23" s="3">
        <v>46195</v>
      </c>
      <c r="T23" s="2"/>
      <c r="U23" s="2"/>
    </row>
    <row r="24" spans="1:21" x14ac:dyDescent="0.25">
      <c r="A24" s="1" t="s">
        <v>268</v>
      </c>
      <c r="B24" s="2">
        <v>607</v>
      </c>
      <c r="C24" s="2">
        <v>9208</v>
      </c>
      <c r="D24" s="2">
        <f t="shared" si="0"/>
        <v>12</v>
      </c>
      <c r="E24" s="2"/>
      <c r="F24" s="2"/>
      <c r="G24" s="2"/>
      <c r="H24" s="2"/>
      <c r="I24" s="2"/>
      <c r="J24" s="2"/>
      <c r="K24" s="2">
        <v>2</v>
      </c>
      <c r="L24" s="2">
        <v>1</v>
      </c>
      <c r="M24" s="2">
        <v>2</v>
      </c>
      <c r="N24" s="2">
        <v>1</v>
      </c>
      <c r="O24" s="2">
        <v>2</v>
      </c>
      <c r="P24" s="2">
        <v>1</v>
      </c>
      <c r="Q24" s="2">
        <v>2</v>
      </c>
      <c r="R24" s="2">
        <v>1</v>
      </c>
      <c r="S24" s="3">
        <v>46195</v>
      </c>
      <c r="T24" s="2"/>
      <c r="U24" s="2"/>
    </row>
    <row r="25" spans="1:21" x14ac:dyDescent="0.25">
      <c r="A25" s="1" t="s">
        <v>269</v>
      </c>
      <c r="B25" s="2">
        <v>608</v>
      </c>
      <c r="C25" s="2">
        <v>9202</v>
      </c>
      <c r="D25" s="2">
        <f t="shared" si="0"/>
        <v>24</v>
      </c>
      <c r="E25" s="2">
        <v>2</v>
      </c>
      <c r="F25" s="2">
        <v>2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1</v>
      </c>
      <c r="M25" s="2">
        <v>2</v>
      </c>
      <c r="N25" s="2">
        <v>1</v>
      </c>
      <c r="O25" s="2">
        <v>2</v>
      </c>
      <c r="P25" s="2">
        <v>1</v>
      </c>
      <c r="Q25" s="2">
        <v>2</v>
      </c>
      <c r="R25" s="2">
        <v>1</v>
      </c>
      <c r="S25" s="3">
        <v>46195</v>
      </c>
      <c r="T25" s="2"/>
      <c r="U25" s="2"/>
    </row>
    <row r="26" spans="1:21" x14ac:dyDescent="0.25">
      <c r="A26" s="1" t="s">
        <v>269</v>
      </c>
      <c r="B26" s="2">
        <v>609</v>
      </c>
      <c r="C26" s="2">
        <v>9208</v>
      </c>
      <c r="D26" s="2">
        <f t="shared" si="0"/>
        <v>24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1</v>
      </c>
      <c r="M26" s="2">
        <v>2</v>
      </c>
      <c r="N26" s="2">
        <v>1</v>
      </c>
      <c r="O26" s="2">
        <v>2</v>
      </c>
      <c r="P26" s="2">
        <v>1</v>
      </c>
      <c r="Q26" s="2">
        <v>2</v>
      </c>
      <c r="R26" s="2">
        <v>1</v>
      </c>
      <c r="S26" s="3">
        <v>46195</v>
      </c>
      <c r="T26" s="2"/>
      <c r="U26" s="2"/>
    </row>
    <row r="27" spans="1:21" x14ac:dyDescent="0.25">
      <c r="A27" s="1" t="s">
        <v>269</v>
      </c>
      <c r="B27" s="2">
        <v>610</v>
      </c>
      <c r="C27" s="2">
        <v>9210</v>
      </c>
      <c r="D27" s="2">
        <f t="shared" si="0"/>
        <v>24</v>
      </c>
      <c r="E27" s="2">
        <v>2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1</v>
      </c>
      <c r="M27" s="2">
        <v>2</v>
      </c>
      <c r="N27" s="2">
        <v>1</v>
      </c>
      <c r="O27" s="2">
        <v>2</v>
      </c>
      <c r="P27" s="2">
        <v>1</v>
      </c>
      <c r="Q27" s="2">
        <v>2</v>
      </c>
      <c r="R27" s="2">
        <v>1</v>
      </c>
      <c r="S27" s="3">
        <v>46195</v>
      </c>
      <c r="T27" s="2"/>
      <c r="U27" s="2"/>
    </row>
    <row r="28" spans="1:21" x14ac:dyDescent="0.25">
      <c r="A28" s="1" t="s">
        <v>270</v>
      </c>
      <c r="B28" s="2">
        <v>611</v>
      </c>
      <c r="C28" s="2">
        <v>9202</v>
      </c>
      <c r="D28" s="2">
        <f t="shared" si="0"/>
        <v>12</v>
      </c>
      <c r="E28" s="2"/>
      <c r="F28" s="2"/>
      <c r="G28" s="2">
        <v>3</v>
      </c>
      <c r="H28" s="2">
        <v>2</v>
      </c>
      <c r="I28" s="2">
        <v>4</v>
      </c>
      <c r="J28" s="2">
        <v>3</v>
      </c>
      <c r="K28" s="2"/>
      <c r="L28" s="2"/>
      <c r="M28" s="2"/>
      <c r="N28" s="2"/>
      <c r="O28" s="2"/>
      <c r="P28" s="2"/>
      <c r="Q28" s="2"/>
      <c r="R28" s="2"/>
      <c r="S28" s="3">
        <v>46195</v>
      </c>
      <c r="T28" s="2"/>
      <c r="U28" s="2"/>
    </row>
    <row r="29" spans="1:21" x14ac:dyDescent="0.25">
      <c r="A29" s="1" t="s">
        <v>270</v>
      </c>
      <c r="B29" s="2">
        <v>612</v>
      </c>
      <c r="C29" s="2">
        <v>9209</v>
      </c>
      <c r="D29" s="2">
        <f t="shared" ref="D29:D45" si="1">SUM(E29:R29)</f>
        <v>24</v>
      </c>
      <c r="E29" s="2">
        <v>2</v>
      </c>
      <c r="F29" s="2">
        <v>2</v>
      </c>
      <c r="G29" s="2">
        <v>2</v>
      </c>
      <c r="H29" s="2">
        <v>2</v>
      </c>
      <c r="I29" s="2">
        <v>2</v>
      </c>
      <c r="J29" s="2">
        <v>2</v>
      </c>
      <c r="K29" s="2">
        <v>3</v>
      </c>
      <c r="L29" s="2">
        <v>3</v>
      </c>
      <c r="M29" s="2">
        <v>3</v>
      </c>
      <c r="N29" s="2">
        <v>3</v>
      </c>
      <c r="O29" s="2"/>
      <c r="P29" s="2"/>
      <c r="Q29" s="2"/>
      <c r="R29" s="2"/>
      <c r="S29" s="3">
        <v>46195</v>
      </c>
      <c r="T29" s="2"/>
      <c r="U29" s="2"/>
    </row>
    <row r="30" spans="1:21" x14ac:dyDescent="0.25">
      <c r="A30" s="1" t="s">
        <v>270</v>
      </c>
      <c r="B30" s="2">
        <v>613</v>
      </c>
      <c r="C30" s="2" t="s">
        <v>30</v>
      </c>
      <c r="D30" s="2">
        <f t="shared" si="1"/>
        <v>12</v>
      </c>
      <c r="E30" s="2">
        <v>2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/>
      <c r="L30" s="2"/>
      <c r="M30" s="2"/>
      <c r="N30" s="2"/>
      <c r="O30" s="2"/>
      <c r="P30" s="2"/>
      <c r="Q30" s="2"/>
      <c r="R30" s="2"/>
      <c r="S30" s="3">
        <v>46195</v>
      </c>
      <c r="T30" s="2"/>
      <c r="U30" s="2"/>
    </row>
    <row r="31" spans="1:21" x14ac:dyDescent="0.25">
      <c r="A31" s="1" t="s">
        <v>270</v>
      </c>
      <c r="B31" s="2">
        <v>614</v>
      </c>
      <c r="C31" s="2">
        <v>9202</v>
      </c>
      <c r="D31" s="2">
        <f t="shared" si="1"/>
        <v>12</v>
      </c>
      <c r="E31" s="2"/>
      <c r="F31" s="2"/>
      <c r="G31" s="2"/>
      <c r="H31" s="2"/>
      <c r="I31" s="2"/>
      <c r="J31" s="2"/>
      <c r="K31" s="2">
        <v>2</v>
      </c>
      <c r="L31" s="2">
        <v>1</v>
      </c>
      <c r="M31" s="2">
        <v>2</v>
      </c>
      <c r="N31" s="2">
        <v>1</v>
      </c>
      <c r="O31" s="2">
        <v>2</v>
      </c>
      <c r="P31" s="2">
        <v>1</v>
      </c>
      <c r="Q31" s="2">
        <v>2</v>
      </c>
      <c r="R31" s="2">
        <v>1</v>
      </c>
      <c r="S31" s="3">
        <v>46195</v>
      </c>
      <c r="T31" s="2"/>
      <c r="U31" s="2"/>
    </row>
    <row r="32" spans="1:21" x14ac:dyDescent="0.25">
      <c r="A32" s="1" t="s">
        <v>270</v>
      </c>
      <c r="B32" s="2">
        <v>615</v>
      </c>
      <c r="C32" s="2">
        <v>9201</v>
      </c>
      <c r="D32" s="2">
        <f t="shared" si="1"/>
        <v>12</v>
      </c>
      <c r="E32" s="2"/>
      <c r="F32" s="2"/>
      <c r="G32" s="2"/>
      <c r="H32" s="2"/>
      <c r="I32" s="2"/>
      <c r="J32" s="2"/>
      <c r="K32" s="2">
        <v>2</v>
      </c>
      <c r="L32" s="2">
        <v>1</v>
      </c>
      <c r="M32" s="2">
        <v>2</v>
      </c>
      <c r="N32" s="2">
        <v>1</v>
      </c>
      <c r="O32" s="2">
        <v>2</v>
      </c>
      <c r="P32" s="2">
        <v>1</v>
      </c>
      <c r="Q32" s="2">
        <v>2</v>
      </c>
      <c r="R32" s="2">
        <v>1</v>
      </c>
      <c r="S32" s="3">
        <v>46195</v>
      </c>
      <c r="T32" s="2"/>
      <c r="U32" s="2"/>
    </row>
    <row r="33" spans="1:21" x14ac:dyDescent="0.25">
      <c r="A33" s="1" t="s">
        <v>270</v>
      </c>
      <c r="B33" s="2">
        <v>616</v>
      </c>
      <c r="C33" s="2">
        <v>9240</v>
      </c>
      <c r="D33" s="2">
        <f t="shared" si="1"/>
        <v>12</v>
      </c>
      <c r="E33" s="2"/>
      <c r="F33" s="2"/>
      <c r="G33" s="2"/>
      <c r="H33" s="2"/>
      <c r="I33" s="2"/>
      <c r="J33" s="2"/>
      <c r="K33" s="2">
        <v>2</v>
      </c>
      <c r="L33" s="2">
        <v>1</v>
      </c>
      <c r="M33" s="2">
        <v>2</v>
      </c>
      <c r="N33" s="2">
        <v>1</v>
      </c>
      <c r="O33" s="2">
        <v>2</v>
      </c>
      <c r="P33" s="2">
        <v>1</v>
      </c>
      <c r="Q33" s="2">
        <v>2</v>
      </c>
      <c r="R33" s="2">
        <v>1</v>
      </c>
      <c r="S33" s="3">
        <v>46195</v>
      </c>
      <c r="T33" s="2"/>
      <c r="U33" s="2"/>
    </row>
    <row r="34" spans="1:21" x14ac:dyDescent="0.25">
      <c r="A34" s="1" t="s">
        <v>271</v>
      </c>
      <c r="B34" s="2">
        <v>617</v>
      </c>
      <c r="C34" s="2">
        <v>9201</v>
      </c>
      <c r="D34" s="2">
        <f t="shared" si="1"/>
        <v>12</v>
      </c>
      <c r="E34" s="2"/>
      <c r="F34" s="2"/>
      <c r="G34" s="2"/>
      <c r="H34" s="2"/>
      <c r="I34" s="2"/>
      <c r="J34" s="2"/>
      <c r="K34" s="2">
        <v>2</v>
      </c>
      <c r="L34" s="2">
        <v>1</v>
      </c>
      <c r="M34" s="2">
        <v>2</v>
      </c>
      <c r="N34" s="2">
        <v>1</v>
      </c>
      <c r="O34" s="2">
        <v>2</v>
      </c>
      <c r="P34" s="2">
        <v>1</v>
      </c>
      <c r="Q34" s="2">
        <v>2</v>
      </c>
      <c r="R34" s="2">
        <v>1</v>
      </c>
      <c r="S34" s="3">
        <v>46196</v>
      </c>
      <c r="T34" s="2"/>
      <c r="U34" s="2"/>
    </row>
    <row r="35" spans="1:21" x14ac:dyDescent="0.25">
      <c r="A35" s="1" t="s">
        <v>33</v>
      </c>
      <c r="B35" s="2">
        <v>618</v>
      </c>
      <c r="C35" s="2">
        <v>9201</v>
      </c>
      <c r="D35" s="2">
        <f t="shared" si="1"/>
        <v>12</v>
      </c>
      <c r="E35" s="2"/>
      <c r="F35" s="2"/>
      <c r="G35" s="2"/>
      <c r="H35" s="2"/>
      <c r="I35" s="2"/>
      <c r="J35" s="2"/>
      <c r="K35" s="2">
        <v>2</v>
      </c>
      <c r="L35" s="2">
        <v>1</v>
      </c>
      <c r="M35" s="2">
        <v>2</v>
      </c>
      <c r="N35" s="2">
        <v>1</v>
      </c>
      <c r="O35" s="2">
        <v>2</v>
      </c>
      <c r="P35" s="2">
        <v>1</v>
      </c>
      <c r="Q35" s="2">
        <v>2</v>
      </c>
      <c r="R35" s="2">
        <v>1</v>
      </c>
      <c r="S35" s="3">
        <v>46196</v>
      </c>
      <c r="T35" s="2"/>
      <c r="U35" s="2"/>
    </row>
    <row r="36" spans="1:21" x14ac:dyDescent="0.25">
      <c r="A36" s="1" t="s">
        <v>33</v>
      </c>
      <c r="B36" s="2">
        <v>619</v>
      </c>
      <c r="C36" s="2">
        <v>9225</v>
      </c>
      <c r="D36" s="2">
        <f t="shared" si="1"/>
        <v>24</v>
      </c>
      <c r="E36" s="2">
        <v>2</v>
      </c>
      <c r="F36" s="2">
        <v>2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1</v>
      </c>
      <c r="M36" s="2">
        <v>2</v>
      </c>
      <c r="N36" s="2">
        <v>1</v>
      </c>
      <c r="O36" s="2">
        <v>2</v>
      </c>
      <c r="P36" s="2">
        <v>1</v>
      </c>
      <c r="Q36" s="2">
        <v>2</v>
      </c>
      <c r="R36" s="2">
        <v>1</v>
      </c>
      <c r="S36" s="3">
        <v>46196</v>
      </c>
      <c r="T36" s="2"/>
      <c r="U36" s="2"/>
    </row>
    <row r="37" spans="1:21" x14ac:dyDescent="0.25">
      <c r="A37" s="1" t="s">
        <v>268</v>
      </c>
      <c r="B37" s="2">
        <v>620</v>
      </c>
      <c r="C37" s="2">
        <v>9208</v>
      </c>
      <c r="D37" s="2">
        <f t="shared" si="1"/>
        <v>24</v>
      </c>
      <c r="E37" s="2">
        <v>2</v>
      </c>
      <c r="F37" s="2">
        <v>2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1</v>
      </c>
      <c r="M37" s="2">
        <v>2</v>
      </c>
      <c r="N37" s="2">
        <v>1</v>
      </c>
      <c r="O37" s="2">
        <v>2</v>
      </c>
      <c r="P37" s="2">
        <v>1</v>
      </c>
      <c r="Q37" s="2">
        <v>2</v>
      </c>
      <c r="R37" s="2">
        <v>1</v>
      </c>
      <c r="S37" s="3">
        <v>46196</v>
      </c>
      <c r="T37" s="2"/>
      <c r="U37" s="2"/>
    </row>
    <row r="38" spans="1:21" x14ac:dyDescent="0.25">
      <c r="A38" s="1" t="s">
        <v>74</v>
      </c>
      <c r="B38" s="2">
        <v>621</v>
      </c>
      <c r="C38" s="2">
        <v>9213</v>
      </c>
      <c r="D38" s="2">
        <f t="shared" si="1"/>
        <v>24</v>
      </c>
      <c r="E38" s="2">
        <v>2</v>
      </c>
      <c r="F38" s="2">
        <v>1</v>
      </c>
      <c r="G38" s="2">
        <v>3</v>
      </c>
      <c r="H38" s="2">
        <v>3</v>
      </c>
      <c r="I38" s="2">
        <v>1</v>
      </c>
      <c r="J38" s="2">
        <v>2</v>
      </c>
      <c r="K38" s="2">
        <v>2</v>
      </c>
      <c r="L38" s="2">
        <v>2</v>
      </c>
      <c r="M38" s="2">
        <v>2</v>
      </c>
      <c r="N38" s="2">
        <v>1</v>
      </c>
      <c r="O38" s="2">
        <v>1</v>
      </c>
      <c r="P38" s="2">
        <v>1</v>
      </c>
      <c r="Q38" s="2">
        <v>1</v>
      </c>
      <c r="R38" s="2">
        <v>2</v>
      </c>
      <c r="S38" s="3">
        <v>46196</v>
      </c>
      <c r="T38" s="2"/>
      <c r="U38" s="2"/>
    </row>
    <row r="39" spans="1:21" x14ac:dyDescent="0.25">
      <c r="A39" s="1" t="s">
        <v>74</v>
      </c>
      <c r="B39" s="2">
        <v>622</v>
      </c>
      <c r="C39" s="2">
        <v>9201</v>
      </c>
      <c r="D39" s="2">
        <f t="shared" si="1"/>
        <v>24</v>
      </c>
      <c r="E39" s="2">
        <v>2</v>
      </c>
      <c r="F39" s="2">
        <v>1</v>
      </c>
      <c r="G39" s="2">
        <v>3</v>
      </c>
      <c r="H39" s="2">
        <v>3</v>
      </c>
      <c r="I39" s="2">
        <v>1</v>
      </c>
      <c r="J39" s="2">
        <v>2</v>
      </c>
      <c r="K39" s="2">
        <v>2</v>
      </c>
      <c r="L39" s="2">
        <v>2</v>
      </c>
      <c r="M39" s="2">
        <v>2</v>
      </c>
      <c r="N39" s="2">
        <v>1</v>
      </c>
      <c r="O39" s="2">
        <v>1</v>
      </c>
      <c r="P39" s="2">
        <v>1</v>
      </c>
      <c r="Q39" s="2">
        <v>1</v>
      </c>
      <c r="R39" s="2">
        <v>2</v>
      </c>
      <c r="S39" s="3">
        <v>46196</v>
      </c>
      <c r="T39" s="2"/>
      <c r="U39" s="2"/>
    </row>
    <row r="40" spans="1:21" x14ac:dyDescent="0.25">
      <c r="A40" s="1" t="s">
        <v>74</v>
      </c>
      <c r="B40" s="2">
        <v>623</v>
      </c>
      <c r="C40" s="8">
        <v>9213</v>
      </c>
      <c r="D40" s="2">
        <f t="shared" si="1"/>
        <v>24</v>
      </c>
      <c r="E40" s="2">
        <v>2</v>
      </c>
      <c r="F40" s="2">
        <v>1</v>
      </c>
      <c r="G40" s="2">
        <v>3</v>
      </c>
      <c r="H40" s="2">
        <v>3</v>
      </c>
      <c r="I40" s="2">
        <v>1</v>
      </c>
      <c r="J40" s="2">
        <v>2</v>
      </c>
      <c r="K40" s="2">
        <v>2</v>
      </c>
      <c r="L40" s="2">
        <v>2</v>
      </c>
      <c r="M40" s="2">
        <v>2</v>
      </c>
      <c r="N40" s="2">
        <v>1</v>
      </c>
      <c r="O40" s="2">
        <v>1</v>
      </c>
      <c r="P40" s="2">
        <v>1</v>
      </c>
      <c r="Q40" s="2">
        <v>1</v>
      </c>
      <c r="R40" s="2">
        <v>2</v>
      </c>
      <c r="S40" s="3">
        <v>46196</v>
      </c>
      <c r="T40" s="2"/>
      <c r="U40" s="2"/>
    </row>
    <row r="41" spans="1:21" x14ac:dyDescent="0.25">
      <c r="A41" s="1" t="s">
        <v>74</v>
      </c>
      <c r="B41" s="2">
        <v>624</v>
      </c>
      <c r="C41" s="2">
        <v>9218</v>
      </c>
      <c r="D41" s="2">
        <f t="shared" si="1"/>
        <v>24</v>
      </c>
      <c r="E41" s="2">
        <v>2</v>
      </c>
      <c r="F41" s="2">
        <v>1</v>
      </c>
      <c r="G41" s="2">
        <v>3</v>
      </c>
      <c r="H41" s="2">
        <v>3</v>
      </c>
      <c r="I41" s="2">
        <v>1</v>
      </c>
      <c r="J41" s="2">
        <v>2</v>
      </c>
      <c r="K41" s="2">
        <v>2</v>
      </c>
      <c r="L41" s="2">
        <v>2</v>
      </c>
      <c r="M41" s="2">
        <v>2</v>
      </c>
      <c r="N41" s="2">
        <v>1</v>
      </c>
      <c r="O41" s="2">
        <v>1</v>
      </c>
      <c r="P41" s="2">
        <v>1</v>
      </c>
      <c r="Q41" s="2">
        <v>1</v>
      </c>
      <c r="R41" s="2">
        <v>2</v>
      </c>
      <c r="S41" s="3">
        <v>46196</v>
      </c>
      <c r="T41" s="2"/>
      <c r="U41" s="2"/>
    </row>
    <row r="42" spans="1:21" x14ac:dyDescent="0.25">
      <c r="A42" s="1" t="s">
        <v>74</v>
      </c>
      <c r="B42" s="2">
        <v>625</v>
      </c>
      <c r="C42" s="2">
        <v>9219</v>
      </c>
      <c r="D42" s="2">
        <f t="shared" si="1"/>
        <v>24</v>
      </c>
      <c r="E42" s="2">
        <v>2</v>
      </c>
      <c r="F42" s="2">
        <v>1</v>
      </c>
      <c r="G42" s="2">
        <v>3</v>
      </c>
      <c r="H42" s="2">
        <v>3</v>
      </c>
      <c r="I42" s="2">
        <v>1</v>
      </c>
      <c r="J42" s="2">
        <v>2</v>
      </c>
      <c r="K42" s="2">
        <v>2</v>
      </c>
      <c r="L42" s="2">
        <v>2</v>
      </c>
      <c r="M42" s="2">
        <v>2</v>
      </c>
      <c r="N42" s="2">
        <v>1</v>
      </c>
      <c r="O42" s="2">
        <v>1</v>
      </c>
      <c r="P42" s="2">
        <v>1</v>
      </c>
      <c r="Q42" s="2">
        <v>1</v>
      </c>
      <c r="R42" s="2">
        <v>2</v>
      </c>
      <c r="S42" s="3">
        <v>46196</v>
      </c>
      <c r="T42" s="2"/>
      <c r="U42" s="2"/>
    </row>
    <row r="43" spans="1:21" x14ac:dyDescent="0.25">
      <c r="A43" s="1" t="s">
        <v>74</v>
      </c>
      <c r="B43" s="2">
        <v>626</v>
      </c>
      <c r="C43" s="2">
        <v>9205</v>
      </c>
      <c r="D43" s="2">
        <f t="shared" si="1"/>
        <v>24</v>
      </c>
      <c r="E43" s="2">
        <v>2</v>
      </c>
      <c r="F43" s="2">
        <v>1</v>
      </c>
      <c r="G43" s="2">
        <v>3</v>
      </c>
      <c r="H43" s="2">
        <v>3</v>
      </c>
      <c r="I43" s="2">
        <v>1</v>
      </c>
      <c r="J43" s="2">
        <v>2</v>
      </c>
      <c r="K43" s="2">
        <v>2</v>
      </c>
      <c r="L43" s="2">
        <v>2</v>
      </c>
      <c r="M43" s="2">
        <v>2</v>
      </c>
      <c r="N43" s="2">
        <v>1</v>
      </c>
      <c r="O43" s="2">
        <v>1</v>
      </c>
      <c r="P43" s="2">
        <v>1</v>
      </c>
      <c r="Q43" s="2">
        <v>1</v>
      </c>
      <c r="R43" s="2">
        <v>2</v>
      </c>
      <c r="S43" s="3">
        <v>46196</v>
      </c>
      <c r="T43" s="2"/>
      <c r="U43" s="2"/>
    </row>
    <row r="44" spans="1:21" x14ac:dyDescent="0.25">
      <c r="A44" s="1" t="s">
        <v>74</v>
      </c>
      <c r="B44" s="2">
        <v>627</v>
      </c>
      <c r="C44" s="2">
        <v>9213</v>
      </c>
      <c r="D44" s="2">
        <f t="shared" si="1"/>
        <v>24</v>
      </c>
      <c r="E44" s="2">
        <v>2</v>
      </c>
      <c r="F44" s="2">
        <v>1</v>
      </c>
      <c r="G44" s="2">
        <v>3</v>
      </c>
      <c r="H44" s="2">
        <v>3</v>
      </c>
      <c r="I44" s="2">
        <v>1</v>
      </c>
      <c r="J44" s="2">
        <v>2</v>
      </c>
      <c r="K44" s="2">
        <v>2</v>
      </c>
      <c r="L44" s="2">
        <v>2</v>
      </c>
      <c r="M44" s="2">
        <v>2</v>
      </c>
      <c r="N44" s="2">
        <v>1</v>
      </c>
      <c r="O44" s="2">
        <v>1</v>
      </c>
      <c r="P44" s="2">
        <v>1</v>
      </c>
      <c r="Q44" s="2">
        <v>1</v>
      </c>
      <c r="R44" s="2">
        <v>2</v>
      </c>
      <c r="S44" s="3">
        <v>46196</v>
      </c>
      <c r="T44" s="2"/>
      <c r="U44" s="2"/>
    </row>
    <row r="45" spans="1:21" x14ac:dyDescent="0.25">
      <c r="A45" s="1" t="s">
        <v>74</v>
      </c>
      <c r="B45" s="2">
        <v>628</v>
      </c>
      <c r="C45" s="2">
        <v>9213</v>
      </c>
      <c r="D45" s="2">
        <f t="shared" si="1"/>
        <v>24</v>
      </c>
      <c r="E45" s="2">
        <v>2</v>
      </c>
      <c r="F45" s="2">
        <v>1</v>
      </c>
      <c r="G45" s="2">
        <v>3</v>
      </c>
      <c r="H45" s="2">
        <v>3</v>
      </c>
      <c r="I45" s="2">
        <v>1</v>
      </c>
      <c r="J45" s="2">
        <v>2</v>
      </c>
      <c r="K45" s="2">
        <v>2</v>
      </c>
      <c r="L45" s="2">
        <v>2</v>
      </c>
      <c r="M45" s="2">
        <v>2</v>
      </c>
      <c r="N45" s="2">
        <v>1</v>
      </c>
      <c r="O45" s="2">
        <v>1</v>
      </c>
      <c r="P45" s="2">
        <v>1</v>
      </c>
      <c r="Q45" s="2">
        <v>1</v>
      </c>
      <c r="R45" s="2">
        <v>2</v>
      </c>
      <c r="S45" s="3">
        <v>46196</v>
      </c>
      <c r="T45" s="2"/>
      <c r="U45" s="2"/>
    </row>
    <row r="46" spans="1:21" x14ac:dyDescent="0.25">
      <c r="B46" s="4"/>
      <c r="C46" s="4"/>
      <c r="D46" s="2">
        <f>SUM(D3:D45)</f>
        <v>1242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5" customHeight="1" x14ac:dyDescent="0.25">
      <c r="A49" s="6" t="s">
        <v>0</v>
      </c>
      <c r="B49" s="6" t="s">
        <v>1</v>
      </c>
      <c r="C49" s="6" t="s">
        <v>3</v>
      </c>
      <c r="D49" s="12" t="s">
        <v>2</v>
      </c>
      <c r="E49" s="6">
        <v>22</v>
      </c>
      <c r="F49" s="6">
        <v>22.5</v>
      </c>
      <c r="G49" s="6">
        <v>23</v>
      </c>
      <c r="H49" s="6">
        <v>23.5</v>
      </c>
      <c r="I49" s="6">
        <v>24</v>
      </c>
      <c r="J49" s="6">
        <v>24.5</v>
      </c>
      <c r="K49" s="6">
        <v>25</v>
      </c>
      <c r="L49" s="108" t="s">
        <v>272</v>
      </c>
      <c r="M49" s="108"/>
      <c r="N49" s="98" t="s">
        <v>9</v>
      </c>
      <c r="O49" s="98"/>
      <c r="P49" s="98" t="s">
        <v>10</v>
      </c>
      <c r="Q49" s="98"/>
      <c r="R49" s="4"/>
      <c r="S49" s="4"/>
      <c r="T49" s="4"/>
      <c r="U49" s="4"/>
    </row>
    <row r="50" spans="1:21" x14ac:dyDescent="0.25">
      <c r="A50" s="7" t="s">
        <v>258</v>
      </c>
      <c r="B50" s="2">
        <v>629</v>
      </c>
      <c r="C50" s="2">
        <v>2402</v>
      </c>
      <c r="D50" s="2">
        <f>SUM(E50:K50)</f>
        <v>12</v>
      </c>
      <c r="E50" s="2"/>
      <c r="F50" s="2"/>
      <c r="G50" s="2">
        <v>2</v>
      </c>
      <c r="H50" s="2">
        <v>2</v>
      </c>
      <c r="I50" s="2"/>
      <c r="J50" s="2">
        <v>4</v>
      </c>
      <c r="K50" s="2">
        <v>4</v>
      </c>
      <c r="L50" s="99">
        <v>46197</v>
      </c>
      <c r="M50" s="106"/>
      <c r="N50" s="87"/>
      <c r="O50" s="87"/>
      <c r="P50" s="87"/>
      <c r="Q50" s="87"/>
      <c r="R50" s="4"/>
      <c r="S50" s="4"/>
      <c r="T50" s="4"/>
      <c r="U50" s="4"/>
    </row>
    <row r="51" spans="1:21" x14ac:dyDescent="0.25">
      <c r="A51" s="7" t="s">
        <v>258</v>
      </c>
      <c r="B51" s="2">
        <v>630</v>
      </c>
      <c r="C51" s="2">
        <v>2405</v>
      </c>
      <c r="D51" s="2">
        <f>SUM(E51:K51)</f>
        <v>12</v>
      </c>
      <c r="E51" s="2"/>
      <c r="F51" s="2"/>
      <c r="G51" s="2">
        <v>2</v>
      </c>
      <c r="H51" s="2">
        <v>2</v>
      </c>
      <c r="I51" s="2"/>
      <c r="J51" s="2">
        <v>4</v>
      </c>
      <c r="K51" s="2">
        <v>4</v>
      </c>
      <c r="L51" s="106" t="s">
        <v>273</v>
      </c>
      <c r="M51" s="106"/>
      <c r="N51" s="87"/>
      <c r="O51" s="87"/>
      <c r="P51" s="87"/>
      <c r="Q51" s="87"/>
      <c r="R51" s="4"/>
      <c r="S51" s="4"/>
      <c r="T51" s="4"/>
      <c r="U51" s="4"/>
    </row>
    <row r="52" spans="1:21" x14ac:dyDescent="0.25">
      <c r="B52" s="4"/>
      <c r="C52" s="4"/>
      <c r="D52" s="2">
        <f>SUM(D50:D51)</f>
        <v>24</v>
      </c>
      <c r="E52" s="4"/>
      <c r="F52" s="4"/>
      <c r="G52" s="4"/>
      <c r="H52" s="4"/>
      <c r="I52" s="4"/>
      <c r="J52" s="4"/>
      <c r="K52" s="4"/>
      <c r="N52" s="4"/>
      <c r="O52" s="4"/>
      <c r="P52" s="4"/>
      <c r="Q52" s="4"/>
      <c r="R52" s="4"/>
      <c r="S52" s="4"/>
      <c r="T52" s="4"/>
      <c r="U52" s="4"/>
    </row>
    <row r="53" spans="1:21" x14ac:dyDescent="0.25">
      <c r="B53" s="4"/>
      <c r="C53" s="49">
        <f>D46+D50+D51</f>
        <v>1266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5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5">
      <c r="B59" s="4"/>
      <c r="C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x14ac:dyDescent="0.2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2:21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2:21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2:21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2:21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2:21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2:21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2:21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2:21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2:21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2:21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2:21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2:21" x14ac:dyDescent="0.2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2:21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2:21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</sheetData>
  <mergeCells count="13">
    <mergeCell ref="L50:M50"/>
    <mergeCell ref="L51:M51"/>
    <mergeCell ref="N50:O50"/>
    <mergeCell ref="N51:O51"/>
    <mergeCell ref="P49:Q49"/>
    <mergeCell ref="P50:Q50"/>
    <mergeCell ref="P51:Q51"/>
    <mergeCell ref="A1:D1"/>
    <mergeCell ref="E1:R1"/>
    <mergeCell ref="S1:S2"/>
    <mergeCell ref="T1:U1"/>
    <mergeCell ref="N49:O49"/>
    <mergeCell ref="L49:M49"/>
  </mergeCells>
  <pageMargins left="0.7" right="0.7" top="0.75" bottom="0.75" header="0.3" footer="0.3"/>
  <ignoredErrors>
    <ignoredError sqref="D3:D28 D29:D37 D38:D45 D50:D5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U394"/>
  <sheetViews>
    <sheetView topLeftCell="A22" workbookViewId="0">
      <selection activeCell="D49" sqref="D49:D52"/>
    </sheetView>
  </sheetViews>
  <sheetFormatPr defaultColWidth="11.42578125" defaultRowHeight="15" x14ac:dyDescent="0.25"/>
  <cols>
    <col min="1" max="1" width="21.140625" customWidth="1"/>
    <col min="4" max="4" width="10.140625" customWidth="1"/>
    <col min="5" max="5" width="4" customWidth="1"/>
    <col min="6" max="6" width="4.85546875" customWidth="1"/>
    <col min="7" max="7" width="4.140625" customWidth="1"/>
    <col min="8" max="8" width="5.140625" customWidth="1"/>
    <col min="9" max="9" width="4.42578125" customWidth="1"/>
    <col min="10" max="10" width="5.42578125" customWidth="1"/>
    <col min="11" max="11" width="4.140625" customWidth="1"/>
    <col min="12" max="12" width="5.28515625" customWidth="1"/>
    <col min="13" max="13" width="4.85546875" customWidth="1"/>
    <col min="14" max="14" width="5" customWidth="1"/>
    <col min="15" max="15" width="5.7109375" customWidth="1"/>
    <col min="16" max="16" width="4.7109375" customWidth="1"/>
    <col min="17" max="17" width="4.42578125" customWidth="1"/>
    <col min="18" max="18" width="5.42578125" customWidth="1"/>
    <col min="19" max="19" width="11.7109375" customWidth="1"/>
  </cols>
  <sheetData>
    <row r="1" spans="1:21" ht="18.75" x14ac:dyDescent="0.25">
      <c r="A1" s="63" t="s">
        <v>274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226</v>
      </c>
      <c r="T1" s="62" t="s">
        <v>6</v>
      </c>
      <c r="U1" s="62"/>
    </row>
    <row r="2" spans="1:21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  <c r="T2" s="22" t="s">
        <v>9</v>
      </c>
      <c r="U2" s="22" t="s">
        <v>10</v>
      </c>
    </row>
    <row r="3" spans="1:21" x14ac:dyDescent="0.25">
      <c r="A3" s="1" t="s">
        <v>74</v>
      </c>
      <c r="B3" s="2">
        <v>643</v>
      </c>
      <c r="C3" s="2">
        <v>9004</v>
      </c>
      <c r="D3" s="34">
        <f>SUM(E3:R3)</f>
        <v>36</v>
      </c>
      <c r="E3" s="2"/>
      <c r="F3" s="2"/>
      <c r="G3" s="2"/>
      <c r="H3" s="2"/>
      <c r="I3" s="2">
        <v>6</v>
      </c>
      <c r="J3" s="2"/>
      <c r="K3" s="2">
        <v>6</v>
      </c>
      <c r="L3" s="2"/>
      <c r="M3" s="2">
        <v>8</v>
      </c>
      <c r="N3" s="2"/>
      <c r="O3" s="2">
        <v>8</v>
      </c>
      <c r="P3" s="2"/>
      <c r="Q3" s="2">
        <v>8</v>
      </c>
      <c r="R3" s="2"/>
      <c r="S3" s="3">
        <v>46202</v>
      </c>
      <c r="T3" s="2"/>
      <c r="U3" s="2"/>
    </row>
    <row r="4" spans="1:21" x14ac:dyDescent="0.25">
      <c r="A4" s="1" t="s">
        <v>34</v>
      </c>
      <c r="B4" s="2">
        <v>644</v>
      </c>
      <c r="C4" s="2">
        <v>9208</v>
      </c>
      <c r="D4" s="34">
        <f t="shared" ref="D4:D45" si="0">SUM(E4:R4)</f>
        <v>24</v>
      </c>
      <c r="E4" s="2">
        <v>1</v>
      </c>
      <c r="F4" s="2">
        <v>2</v>
      </c>
      <c r="G4" s="2">
        <v>2</v>
      </c>
      <c r="H4" s="2">
        <v>2</v>
      </c>
      <c r="I4" s="2">
        <v>2</v>
      </c>
      <c r="J4" s="2">
        <v>3</v>
      </c>
      <c r="K4" s="2"/>
      <c r="L4" s="2">
        <v>2</v>
      </c>
      <c r="M4" s="2"/>
      <c r="N4" s="2">
        <v>1</v>
      </c>
      <c r="O4" s="2">
        <v>1</v>
      </c>
      <c r="P4" s="2">
        <v>2</v>
      </c>
      <c r="Q4" s="2">
        <v>3</v>
      </c>
      <c r="R4" s="2">
        <v>3</v>
      </c>
      <c r="S4" s="3">
        <v>46202</v>
      </c>
      <c r="T4" s="2"/>
      <c r="U4" s="2"/>
    </row>
    <row r="5" spans="1:21" x14ac:dyDescent="0.25">
      <c r="A5" s="1" t="s">
        <v>34</v>
      </c>
      <c r="B5" s="2">
        <v>645</v>
      </c>
      <c r="C5" s="2">
        <v>9231</v>
      </c>
      <c r="D5" s="34">
        <f t="shared" si="0"/>
        <v>12</v>
      </c>
      <c r="E5" s="2"/>
      <c r="F5" s="2"/>
      <c r="G5" s="2"/>
      <c r="H5" s="2"/>
      <c r="I5" s="2"/>
      <c r="J5" s="2"/>
      <c r="K5" s="2">
        <v>1</v>
      </c>
      <c r="L5" s="2">
        <v>1</v>
      </c>
      <c r="M5" s="2">
        <v>1</v>
      </c>
      <c r="N5" s="2">
        <v>2</v>
      </c>
      <c r="O5" s="2">
        <v>1</v>
      </c>
      <c r="P5" s="2">
        <v>2</v>
      </c>
      <c r="Q5" s="2">
        <v>2</v>
      </c>
      <c r="R5" s="2">
        <v>2</v>
      </c>
      <c r="S5" s="3">
        <v>46202</v>
      </c>
      <c r="T5" s="2"/>
      <c r="U5" s="2"/>
    </row>
    <row r="6" spans="1:21" x14ac:dyDescent="0.25">
      <c r="A6" s="1" t="s">
        <v>34</v>
      </c>
      <c r="B6" s="2">
        <v>646</v>
      </c>
      <c r="C6" s="2">
        <v>9211</v>
      </c>
      <c r="D6" s="34">
        <f t="shared" si="0"/>
        <v>12</v>
      </c>
      <c r="E6" s="2"/>
      <c r="F6" s="2"/>
      <c r="G6" s="2"/>
      <c r="H6" s="2"/>
      <c r="I6" s="2"/>
      <c r="J6" s="2"/>
      <c r="K6" s="2">
        <v>2</v>
      </c>
      <c r="L6" s="2">
        <v>2</v>
      </c>
      <c r="M6" s="2"/>
      <c r="N6" s="2">
        <v>2</v>
      </c>
      <c r="O6" s="2"/>
      <c r="P6" s="2">
        <v>2</v>
      </c>
      <c r="Q6" s="2">
        <v>1</v>
      </c>
      <c r="R6" s="2">
        <v>3</v>
      </c>
      <c r="S6" s="3">
        <v>46202</v>
      </c>
      <c r="T6" s="2"/>
      <c r="U6" s="2"/>
    </row>
    <row r="7" spans="1:21" x14ac:dyDescent="0.25">
      <c r="A7" s="1" t="s">
        <v>45</v>
      </c>
      <c r="B7" s="2">
        <v>655</v>
      </c>
      <c r="C7" s="2">
        <v>9276</v>
      </c>
      <c r="D7" s="34">
        <f t="shared" si="0"/>
        <v>24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s="2">
        <v>1</v>
      </c>
      <c r="M7" s="2">
        <v>2</v>
      </c>
      <c r="N7" s="2">
        <v>1</v>
      </c>
      <c r="O7" s="2">
        <v>2</v>
      </c>
      <c r="P7" s="2">
        <v>1</v>
      </c>
      <c r="Q7" s="2">
        <v>2</v>
      </c>
      <c r="R7" s="2">
        <v>1</v>
      </c>
      <c r="S7" s="3">
        <v>46202</v>
      </c>
      <c r="T7" s="2"/>
      <c r="U7" s="2"/>
    </row>
    <row r="8" spans="1:21" x14ac:dyDescent="0.25">
      <c r="A8" s="1" t="s">
        <v>45</v>
      </c>
      <c r="B8" s="2">
        <v>656</v>
      </c>
      <c r="C8" s="2">
        <v>9276</v>
      </c>
      <c r="D8" s="34">
        <f t="shared" si="0"/>
        <v>24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2</v>
      </c>
      <c r="K8" s="2">
        <v>2</v>
      </c>
      <c r="L8" s="2">
        <v>1</v>
      </c>
      <c r="M8" s="2">
        <v>2</v>
      </c>
      <c r="N8" s="2">
        <v>1</v>
      </c>
      <c r="O8" s="2">
        <v>2</v>
      </c>
      <c r="P8" s="2">
        <v>1</v>
      </c>
      <c r="Q8" s="2">
        <v>2</v>
      </c>
      <c r="R8" s="2">
        <v>1</v>
      </c>
      <c r="S8" s="3">
        <v>46202</v>
      </c>
      <c r="T8" s="2"/>
      <c r="U8" s="2"/>
    </row>
    <row r="9" spans="1:21" x14ac:dyDescent="0.25">
      <c r="A9" s="1" t="s">
        <v>45</v>
      </c>
      <c r="B9" s="2">
        <v>657</v>
      </c>
      <c r="C9" s="2">
        <v>9219</v>
      </c>
      <c r="D9" s="34">
        <f t="shared" si="0"/>
        <v>60</v>
      </c>
      <c r="E9" s="2">
        <v>4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6</v>
      </c>
      <c r="L9" s="2">
        <v>3</v>
      </c>
      <c r="M9" s="2">
        <v>6</v>
      </c>
      <c r="N9" s="2">
        <v>3</v>
      </c>
      <c r="O9" s="2">
        <v>6</v>
      </c>
      <c r="P9" s="2">
        <v>3</v>
      </c>
      <c r="Q9" s="2">
        <v>6</v>
      </c>
      <c r="R9" s="2">
        <v>3</v>
      </c>
      <c r="S9" s="3">
        <v>46202</v>
      </c>
      <c r="T9" s="2"/>
      <c r="U9" s="2"/>
    </row>
    <row r="10" spans="1:21" x14ac:dyDescent="0.25">
      <c r="A10" s="1" t="s">
        <v>45</v>
      </c>
      <c r="B10" s="2">
        <v>658</v>
      </c>
      <c r="C10" s="2">
        <v>9240</v>
      </c>
      <c r="D10" s="34">
        <f t="shared" si="0"/>
        <v>60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6</v>
      </c>
      <c r="L10" s="2">
        <v>3</v>
      </c>
      <c r="M10" s="2">
        <v>6</v>
      </c>
      <c r="N10" s="2">
        <v>3</v>
      </c>
      <c r="O10" s="2">
        <v>6</v>
      </c>
      <c r="P10" s="2">
        <v>3</v>
      </c>
      <c r="Q10" s="2">
        <v>6</v>
      </c>
      <c r="R10" s="2">
        <v>3</v>
      </c>
      <c r="S10" s="3">
        <v>46202</v>
      </c>
      <c r="T10" s="2"/>
      <c r="U10" s="2"/>
    </row>
    <row r="11" spans="1:21" x14ac:dyDescent="0.25">
      <c r="A11" s="1" t="s">
        <v>277</v>
      </c>
      <c r="B11" s="2">
        <v>659</v>
      </c>
      <c r="C11" s="2">
        <v>9213</v>
      </c>
      <c r="D11" s="34">
        <f t="shared" si="0"/>
        <v>48</v>
      </c>
      <c r="E11" s="2">
        <v>4</v>
      </c>
      <c r="F11" s="2">
        <v>2</v>
      </c>
      <c r="G11" s="2">
        <v>4</v>
      </c>
      <c r="H11" s="2">
        <v>2</v>
      </c>
      <c r="I11" s="2">
        <v>6</v>
      </c>
      <c r="J11" s="2">
        <v>6</v>
      </c>
      <c r="K11" s="2">
        <v>4</v>
      </c>
      <c r="L11" s="2">
        <v>4</v>
      </c>
      <c r="M11" s="2">
        <v>2</v>
      </c>
      <c r="N11" s="2">
        <v>2</v>
      </c>
      <c r="O11" s="2">
        <v>4</v>
      </c>
      <c r="P11" s="2">
        <v>2</v>
      </c>
      <c r="Q11" s="2">
        <v>4</v>
      </c>
      <c r="R11" s="2">
        <v>2</v>
      </c>
      <c r="S11" s="3">
        <v>46202</v>
      </c>
      <c r="T11" s="2"/>
      <c r="U11" s="2"/>
    </row>
    <row r="12" spans="1:21" x14ac:dyDescent="0.25">
      <c r="A12" s="1" t="s">
        <v>277</v>
      </c>
      <c r="B12" s="2">
        <v>660</v>
      </c>
      <c r="C12" s="2">
        <v>9213</v>
      </c>
      <c r="D12" s="34">
        <f t="shared" si="0"/>
        <v>48</v>
      </c>
      <c r="E12" s="2">
        <v>4</v>
      </c>
      <c r="F12" s="2">
        <v>2</v>
      </c>
      <c r="G12" s="2">
        <v>4</v>
      </c>
      <c r="H12" s="2">
        <v>2</v>
      </c>
      <c r="I12" s="2">
        <v>6</v>
      </c>
      <c r="J12" s="2">
        <v>6</v>
      </c>
      <c r="K12" s="2">
        <v>4</v>
      </c>
      <c r="L12" s="2">
        <v>4</v>
      </c>
      <c r="M12" s="2">
        <v>2</v>
      </c>
      <c r="N12" s="2">
        <v>2</v>
      </c>
      <c r="O12" s="2">
        <v>4</v>
      </c>
      <c r="P12" s="2">
        <v>2</v>
      </c>
      <c r="Q12" s="2">
        <v>4</v>
      </c>
      <c r="R12" s="2">
        <v>2</v>
      </c>
      <c r="S12" s="3">
        <v>46202</v>
      </c>
      <c r="T12" s="2"/>
      <c r="U12" s="2"/>
    </row>
    <row r="13" spans="1:21" x14ac:dyDescent="0.25">
      <c r="A13" s="1" t="s">
        <v>277</v>
      </c>
      <c r="B13" s="2">
        <v>661</v>
      </c>
      <c r="C13" s="2">
        <v>9213</v>
      </c>
      <c r="D13" s="34">
        <f t="shared" si="0"/>
        <v>48</v>
      </c>
      <c r="E13" s="2">
        <v>4</v>
      </c>
      <c r="F13" s="2">
        <v>2</v>
      </c>
      <c r="G13" s="2">
        <v>4</v>
      </c>
      <c r="H13" s="2">
        <v>2</v>
      </c>
      <c r="I13" s="2">
        <v>6</v>
      </c>
      <c r="J13" s="2">
        <v>6</v>
      </c>
      <c r="K13" s="2">
        <v>4</v>
      </c>
      <c r="L13" s="2">
        <v>4</v>
      </c>
      <c r="M13" s="2">
        <v>2</v>
      </c>
      <c r="N13" s="2">
        <v>2</v>
      </c>
      <c r="O13" s="2">
        <v>4</v>
      </c>
      <c r="P13" s="2">
        <v>2</v>
      </c>
      <c r="Q13" s="2">
        <v>4</v>
      </c>
      <c r="R13" s="2">
        <v>2</v>
      </c>
      <c r="S13" s="3">
        <v>46202</v>
      </c>
      <c r="T13" s="2"/>
      <c r="U13" s="2"/>
    </row>
    <row r="14" spans="1:21" x14ac:dyDescent="0.25">
      <c r="A14" s="1" t="s">
        <v>277</v>
      </c>
      <c r="B14" s="2">
        <v>662</v>
      </c>
      <c r="C14" s="2">
        <v>9004</v>
      </c>
      <c r="D14" s="34">
        <f t="shared" si="0"/>
        <v>48</v>
      </c>
      <c r="E14" s="2">
        <v>4</v>
      </c>
      <c r="F14" s="2">
        <v>2</v>
      </c>
      <c r="G14" s="2">
        <v>4</v>
      </c>
      <c r="H14" s="2">
        <v>2</v>
      </c>
      <c r="I14" s="2">
        <v>6</v>
      </c>
      <c r="J14" s="2">
        <v>6</v>
      </c>
      <c r="K14" s="2">
        <v>4</v>
      </c>
      <c r="L14" s="2">
        <v>4</v>
      </c>
      <c r="M14" s="2">
        <v>2</v>
      </c>
      <c r="N14" s="2">
        <v>2</v>
      </c>
      <c r="O14" s="2">
        <v>4</v>
      </c>
      <c r="P14" s="2">
        <v>2</v>
      </c>
      <c r="Q14" s="2">
        <v>4</v>
      </c>
      <c r="R14" s="2">
        <v>2</v>
      </c>
      <c r="S14" s="3">
        <v>46202</v>
      </c>
      <c r="T14" s="2"/>
      <c r="U14" s="2"/>
    </row>
    <row r="15" spans="1:21" x14ac:dyDescent="0.25">
      <c r="A15" s="1" t="s">
        <v>277</v>
      </c>
      <c r="B15" s="2">
        <v>663</v>
      </c>
      <c r="C15" s="2">
        <v>9004</v>
      </c>
      <c r="D15" s="34">
        <f t="shared" si="0"/>
        <v>48</v>
      </c>
      <c r="E15" s="2">
        <v>4</v>
      </c>
      <c r="F15" s="2">
        <v>2</v>
      </c>
      <c r="G15" s="2">
        <v>4</v>
      </c>
      <c r="H15" s="2">
        <v>2</v>
      </c>
      <c r="I15" s="2">
        <v>6</v>
      </c>
      <c r="J15" s="2">
        <v>6</v>
      </c>
      <c r="K15" s="2">
        <v>4</v>
      </c>
      <c r="L15" s="2">
        <v>4</v>
      </c>
      <c r="M15" s="2">
        <v>2</v>
      </c>
      <c r="N15" s="2">
        <v>2</v>
      </c>
      <c r="O15" s="2">
        <v>4</v>
      </c>
      <c r="P15" s="2">
        <v>2</v>
      </c>
      <c r="Q15" s="2">
        <v>4</v>
      </c>
      <c r="R15" s="2">
        <v>2</v>
      </c>
      <c r="S15" s="3">
        <v>46202</v>
      </c>
      <c r="T15" s="2"/>
      <c r="U15" s="2"/>
    </row>
    <row r="16" spans="1:21" x14ac:dyDescent="0.25">
      <c r="A16" s="1" t="s">
        <v>29</v>
      </c>
      <c r="B16" s="2">
        <v>664</v>
      </c>
      <c r="C16" s="2">
        <v>9258</v>
      </c>
      <c r="D16" s="34">
        <f t="shared" si="0"/>
        <v>36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  <c r="K16" s="2">
        <v>4</v>
      </c>
      <c r="L16" s="2">
        <v>2</v>
      </c>
      <c r="M16" s="2">
        <v>4</v>
      </c>
      <c r="N16" s="2">
        <v>2</v>
      </c>
      <c r="O16" s="2">
        <v>4</v>
      </c>
      <c r="P16" s="2">
        <v>2</v>
      </c>
      <c r="Q16" s="2">
        <v>4</v>
      </c>
      <c r="R16" s="2">
        <v>2</v>
      </c>
      <c r="S16" s="3">
        <v>46202</v>
      </c>
      <c r="T16" s="2"/>
      <c r="U16" s="2"/>
    </row>
    <row r="17" spans="1:21" x14ac:dyDescent="0.25">
      <c r="A17" s="1" t="s">
        <v>29</v>
      </c>
      <c r="B17" s="2">
        <v>665</v>
      </c>
      <c r="C17" s="2">
        <v>9262</v>
      </c>
      <c r="D17" s="34">
        <f t="shared" si="0"/>
        <v>36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4</v>
      </c>
      <c r="L17" s="2">
        <v>2</v>
      </c>
      <c r="M17" s="2">
        <v>4</v>
      </c>
      <c r="N17" s="2">
        <v>2</v>
      </c>
      <c r="O17" s="2">
        <v>4</v>
      </c>
      <c r="P17" s="2">
        <v>2</v>
      </c>
      <c r="Q17" s="2">
        <v>4</v>
      </c>
      <c r="R17" s="2">
        <v>2</v>
      </c>
      <c r="S17" s="3">
        <v>46202</v>
      </c>
      <c r="T17" s="2"/>
      <c r="U17" s="2"/>
    </row>
    <row r="18" spans="1:21" x14ac:dyDescent="0.25">
      <c r="A18" s="1" t="s">
        <v>29</v>
      </c>
      <c r="B18" s="2">
        <v>666</v>
      </c>
      <c r="C18" s="2">
        <v>9264</v>
      </c>
      <c r="D18" s="34">
        <f t="shared" si="0"/>
        <v>36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4</v>
      </c>
      <c r="L18" s="2">
        <v>2</v>
      </c>
      <c r="M18" s="2">
        <v>4</v>
      </c>
      <c r="N18" s="2">
        <v>2</v>
      </c>
      <c r="O18" s="2">
        <v>4</v>
      </c>
      <c r="P18" s="2">
        <v>2</v>
      </c>
      <c r="Q18" s="2">
        <v>4</v>
      </c>
      <c r="R18" s="2">
        <v>2</v>
      </c>
      <c r="S18" s="3">
        <v>46202</v>
      </c>
      <c r="T18" s="2"/>
      <c r="U18" s="2"/>
    </row>
    <row r="19" spans="1:21" x14ac:dyDescent="0.25">
      <c r="A19" s="1" t="s">
        <v>29</v>
      </c>
      <c r="B19" s="2">
        <v>667</v>
      </c>
      <c r="C19" s="2">
        <v>2605</v>
      </c>
      <c r="D19" s="34">
        <f t="shared" si="0"/>
        <v>36</v>
      </c>
      <c r="E19" s="2">
        <v>2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>
        <v>4</v>
      </c>
      <c r="L19" s="2">
        <v>2</v>
      </c>
      <c r="M19" s="2">
        <v>4</v>
      </c>
      <c r="N19" s="2">
        <v>2</v>
      </c>
      <c r="O19" s="2">
        <v>4</v>
      </c>
      <c r="P19" s="2">
        <v>2</v>
      </c>
      <c r="Q19" s="2">
        <v>4</v>
      </c>
      <c r="R19" s="2">
        <v>2</v>
      </c>
      <c r="S19" s="3">
        <v>46202</v>
      </c>
      <c r="T19" s="2"/>
      <c r="U19" s="2"/>
    </row>
    <row r="20" spans="1:21" x14ac:dyDescent="0.25">
      <c r="A20" s="1" t="s">
        <v>29</v>
      </c>
      <c r="B20" s="2">
        <v>668</v>
      </c>
      <c r="C20" s="2">
        <v>927</v>
      </c>
      <c r="D20" s="34">
        <f t="shared" si="0"/>
        <v>36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4</v>
      </c>
      <c r="L20" s="2">
        <v>2</v>
      </c>
      <c r="M20" s="2">
        <v>4</v>
      </c>
      <c r="N20" s="2">
        <v>2</v>
      </c>
      <c r="O20" s="2">
        <v>4</v>
      </c>
      <c r="P20" s="2">
        <v>2</v>
      </c>
      <c r="Q20" s="2">
        <v>4</v>
      </c>
      <c r="R20" s="2">
        <v>2</v>
      </c>
      <c r="S20" s="3">
        <v>46202</v>
      </c>
      <c r="T20" s="2"/>
      <c r="U20" s="2"/>
    </row>
    <row r="21" spans="1:21" x14ac:dyDescent="0.25">
      <c r="A21" s="1" t="s">
        <v>29</v>
      </c>
      <c r="B21" s="2">
        <v>669</v>
      </c>
      <c r="C21" s="2">
        <v>9273</v>
      </c>
      <c r="D21" s="34">
        <f t="shared" si="0"/>
        <v>36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4</v>
      </c>
      <c r="L21" s="2">
        <v>2</v>
      </c>
      <c r="M21" s="2">
        <v>4</v>
      </c>
      <c r="N21" s="2">
        <v>2</v>
      </c>
      <c r="O21" s="2">
        <v>4</v>
      </c>
      <c r="P21" s="2">
        <v>2</v>
      </c>
      <c r="Q21" s="2">
        <v>4</v>
      </c>
      <c r="R21" s="2">
        <v>2</v>
      </c>
      <c r="S21" s="3">
        <v>46202</v>
      </c>
      <c r="T21" s="2"/>
      <c r="U21" s="2"/>
    </row>
    <row r="22" spans="1:21" x14ac:dyDescent="0.25">
      <c r="A22" s="1" t="s">
        <v>28</v>
      </c>
      <c r="B22" s="2">
        <v>670</v>
      </c>
      <c r="C22" s="2">
        <v>9270</v>
      </c>
      <c r="D22" s="34">
        <f t="shared" si="0"/>
        <v>24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1</v>
      </c>
      <c r="M22" s="2">
        <v>2</v>
      </c>
      <c r="N22" s="2">
        <v>1</v>
      </c>
      <c r="O22" s="2">
        <v>2</v>
      </c>
      <c r="P22" s="2">
        <v>1</v>
      </c>
      <c r="Q22" s="2">
        <v>2</v>
      </c>
      <c r="R22" s="2">
        <v>1</v>
      </c>
      <c r="S22" s="3">
        <v>46202</v>
      </c>
      <c r="T22" s="2"/>
      <c r="U22" s="2"/>
    </row>
    <row r="23" spans="1:21" x14ac:dyDescent="0.25">
      <c r="A23" s="1" t="s">
        <v>28</v>
      </c>
      <c r="B23" s="2">
        <v>671</v>
      </c>
      <c r="C23" s="2">
        <v>9270</v>
      </c>
      <c r="D23" s="34">
        <f t="shared" si="0"/>
        <v>24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1</v>
      </c>
      <c r="M23" s="2">
        <v>2</v>
      </c>
      <c r="N23" s="2">
        <v>1</v>
      </c>
      <c r="O23" s="2">
        <v>2</v>
      </c>
      <c r="P23" s="2">
        <v>1</v>
      </c>
      <c r="Q23" s="2">
        <v>2</v>
      </c>
      <c r="R23" s="2">
        <v>1</v>
      </c>
      <c r="S23" s="3">
        <v>46202</v>
      </c>
      <c r="T23" s="2"/>
      <c r="U23" s="2"/>
    </row>
    <row r="24" spans="1:21" x14ac:dyDescent="0.25">
      <c r="A24" s="1" t="s">
        <v>28</v>
      </c>
      <c r="B24" s="2">
        <v>672</v>
      </c>
      <c r="C24" s="2">
        <v>9271</v>
      </c>
      <c r="D24" s="34">
        <f t="shared" si="0"/>
        <v>24</v>
      </c>
      <c r="E24" s="2">
        <v>2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>
        <v>2</v>
      </c>
      <c r="L24" s="2">
        <v>1</v>
      </c>
      <c r="M24" s="2">
        <v>2</v>
      </c>
      <c r="N24" s="2">
        <v>1</v>
      </c>
      <c r="O24" s="2">
        <v>2</v>
      </c>
      <c r="P24" s="2">
        <v>1</v>
      </c>
      <c r="Q24" s="2">
        <v>2</v>
      </c>
      <c r="R24" s="2">
        <v>1</v>
      </c>
      <c r="S24" s="3">
        <v>46202</v>
      </c>
      <c r="T24" s="2"/>
      <c r="U24" s="2"/>
    </row>
    <row r="25" spans="1:21" x14ac:dyDescent="0.25">
      <c r="A25" s="1" t="s">
        <v>28</v>
      </c>
      <c r="B25" s="2">
        <v>673</v>
      </c>
      <c r="C25" s="2">
        <v>9272</v>
      </c>
      <c r="D25" s="34">
        <f t="shared" si="0"/>
        <v>24</v>
      </c>
      <c r="E25" s="2">
        <v>2</v>
      </c>
      <c r="F25" s="2">
        <v>2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1</v>
      </c>
      <c r="M25" s="2">
        <v>2</v>
      </c>
      <c r="N25" s="2">
        <v>1</v>
      </c>
      <c r="O25" s="2">
        <v>2</v>
      </c>
      <c r="P25" s="2">
        <v>1</v>
      </c>
      <c r="Q25" s="2">
        <v>2</v>
      </c>
      <c r="R25" s="2">
        <v>1</v>
      </c>
      <c r="S25" s="3">
        <v>46202</v>
      </c>
      <c r="T25" s="2"/>
      <c r="U25" s="2"/>
    </row>
    <row r="26" spans="1:21" x14ac:dyDescent="0.25">
      <c r="A26" s="1" t="s">
        <v>28</v>
      </c>
      <c r="B26" s="2">
        <v>674</v>
      </c>
      <c r="C26" s="2">
        <v>9273</v>
      </c>
      <c r="D26" s="34">
        <f t="shared" si="0"/>
        <v>24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1</v>
      </c>
      <c r="M26" s="2">
        <v>2</v>
      </c>
      <c r="N26" s="2">
        <v>1</v>
      </c>
      <c r="O26" s="2">
        <v>2</v>
      </c>
      <c r="P26" s="2">
        <v>1</v>
      </c>
      <c r="Q26" s="2">
        <v>2</v>
      </c>
      <c r="R26" s="2">
        <v>1</v>
      </c>
      <c r="S26" s="3">
        <v>46202</v>
      </c>
      <c r="T26" s="2"/>
      <c r="U26" s="2"/>
    </row>
    <row r="27" spans="1:21" x14ac:dyDescent="0.25">
      <c r="A27" s="1" t="s">
        <v>28</v>
      </c>
      <c r="B27" s="2">
        <v>675</v>
      </c>
      <c r="C27" s="2">
        <v>9273</v>
      </c>
      <c r="D27" s="34">
        <f t="shared" si="0"/>
        <v>24</v>
      </c>
      <c r="E27" s="2">
        <v>2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1</v>
      </c>
      <c r="M27" s="2">
        <v>2</v>
      </c>
      <c r="N27" s="2">
        <v>1</v>
      </c>
      <c r="O27" s="2">
        <v>2</v>
      </c>
      <c r="P27" s="2">
        <v>1</v>
      </c>
      <c r="Q27" s="2">
        <v>2</v>
      </c>
      <c r="R27" s="2">
        <v>1</v>
      </c>
      <c r="S27" s="3">
        <v>46202</v>
      </c>
      <c r="T27" s="2"/>
      <c r="U27" s="2"/>
    </row>
    <row r="28" spans="1:21" ht="15" customHeight="1" x14ac:dyDescent="0.25">
      <c r="A28" s="1" t="s">
        <v>28</v>
      </c>
      <c r="B28" s="2">
        <v>676</v>
      </c>
      <c r="C28" s="2">
        <v>9276</v>
      </c>
      <c r="D28" s="34">
        <f t="shared" si="0"/>
        <v>24</v>
      </c>
      <c r="E28" s="2">
        <v>2</v>
      </c>
      <c r="F28" s="2">
        <v>2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2">
        <v>1</v>
      </c>
      <c r="M28" s="2">
        <v>2</v>
      </c>
      <c r="N28" s="2">
        <v>1</v>
      </c>
      <c r="O28" s="2">
        <v>2</v>
      </c>
      <c r="P28" s="2">
        <v>1</v>
      </c>
      <c r="Q28" s="2">
        <v>2</v>
      </c>
      <c r="R28" s="2">
        <v>1</v>
      </c>
      <c r="S28" s="3">
        <v>46202</v>
      </c>
      <c r="T28" s="2"/>
      <c r="U28" s="2"/>
    </row>
    <row r="29" spans="1:21" x14ac:dyDescent="0.25">
      <c r="A29" s="1" t="s">
        <v>28</v>
      </c>
      <c r="B29" s="2">
        <v>677</v>
      </c>
      <c r="C29" s="2">
        <v>9276</v>
      </c>
      <c r="D29" s="34">
        <f t="shared" si="0"/>
        <v>24</v>
      </c>
      <c r="E29" s="2">
        <v>2</v>
      </c>
      <c r="F29" s="2">
        <v>2</v>
      </c>
      <c r="G29" s="2">
        <v>2</v>
      </c>
      <c r="H29" s="2">
        <v>2</v>
      </c>
      <c r="I29" s="2">
        <v>2</v>
      </c>
      <c r="J29" s="2">
        <v>2</v>
      </c>
      <c r="K29" s="2">
        <v>2</v>
      </c>
      <c r="L29" s="2">
        <v>1</v>
      </c>
      <c r="M29" s="2">
        <v>2</v>
      </c>
      <c r="N29" s="2">
        <v>1</v>
      </c>
      <c r="O29" s="2">
        <v>2</v>
      </c>
      <c r="P29" s="2">
        <v>1</v>
      </c>
      <c r="Q29" s="2">
        <v>2</v>
      </c>
      <c r="R29" s="2">
        <v>1</v>
      </c>
      <c r="S29" s="3">
        <v>46202</v>
      </c>
      <c r="T29" s="2"/>
      <c r="U29" s="2"/>
    </row>
    <row r="30" spans="1:21" x14ac:dyDescent="0.25">
      <c r="A30" s="1" t="s">
        <v>28</v>
      </c>
      <c r="B30" s="2">
        <v>678</v>
      </c>
      <c r="C30" s="2">
        <v>9213</v>
      </c>
      <c r="D30" s="34">
        <f t="shared" si="0"/>
        <v>24</v>
      </c>
      <c r="E30" s="2">
        <v>2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>
        <v>2</v>
      </c>
      <c r="L30" s="2">
        <v>1</v>
      </c>
      <c r="M30" s="2">
        <v>2</v>
      </c>
      <c r="N30" s="2">
        <v>1</v>
      </c>
      <c r="O30" s="2">
        <v>2</v>
      </c>
      <c r="P30" s="2">
        <v>1</v>
      </c>
      <c r="Q30" s="2">
        <v>2</v>
      </c>
      <c r="R30" s="2">
        <v>1</v>
      </c>
      <c r="S30" s="3">
        <v>46202</v>
      </c>
      <c r="T30" s="2"/>
      <c r="U30" s="2"/>
    </row>
    <row r="31" spans="1:21" x14ac:dyDescent="0.25">
      <c r="A31" s="1" t="s">
        <v>28</v>
      </c>
      <c r="B31" s="2">
        <v>679</v>
      </c>
      <c r="C31" s="2">
        <v>9213</v>
      </c>
      <c r="D31" s="34">
        <f t="shared" si="0"/>
        <v>24</v>
      </c>
      <c r="E31" s="2">
        <v>2</v>
      </c>
      <c r="F31" s="2">
        <v>2</v>
      </c>
      <c r="G31" s="2">
        <v>2</v>
      </c>
      <c r="H31" s="2">
        <v>2</v>
      </c>
      <c r="I31" s="2">
        <v>2</v>
      </c>
      <c r="J31" s="2">
        <v>2</v>
      </c>
      <c r="K31" s="2">
        <v>2</v>
      </c>
      <c r="L31" s="2">
        <v>1</v>
      </c>
      <c r="M31" s="2">
        <v>2</v>
      </c>
      <c r="N31" s="2">
        <v>1</v>
      </c>
      <c r="O31" s="2">
        <v>2</v>
      </c>
      <c r="P31" s="2">
        <v>1</v>
      </c>
      <c r="Q31" s="2">
        <v>2</v>
      </c>
      <c r="R31" s="2">
        <v>1</v>
      </c>
      <c r="S31" s="3">
        <v>46202</v>
      </c>
      <c r="T31" s="2"/>
      <c r="U31" s="2"/>
    </row>
    <row r="32" spans="1:21" x14ac:dyDescent="0.25">
      <c r="A32" s="1" t="s">
        <v>28</v>
      </c>
      <c r="B32" s="2">
        <v>680</v>
      </c>
      <c r="C32" s="2">
        <v>9214</v>
      </c>
      <c r="D32" s="34">
        <f t="shared" si="0"/>
        <v>24</v>
      </c>
      <c r="E32" s="2">
        <v>2</v>
      </c>
      <c r="F32" s="2">
        <v>2</v>
      </c>
      <c r="G32" s="2">
        <v>2</v>
      </c>
      <c r="H32" s="2">
        <v>2</v>
      </c>
      <c r="I32" s="2">
        <v>2</v>
      </c>
      <c r="J32" s="2">
        <v>2</v>
      </c>
      <c r="K32" s="2">
        <v>2</v>
      </c>
      <c r="L32" s="2">
        <v>1</v>
      </c>
      <c r="M32" s="2">
        <v>2</v>
      </c>
      <c r="N32" s="2">
        <v>1</v>
      </c>
      <c r="O32" s="2">
        <v>2</v>
      </c>
      <c r="P32" s="2">
        <v>1</v>
      </c>
      <c r="Q32" s="2">
        <v>2</v>
      </c>
      <c r="R32" s="2">
        <v>1</v>
      </c>
      <c r="S32" s="3">
        <v>46202</v>
      </c>
      <c r="T32" s="2"/>
      <c r="U32" s="2"/>
    </row>
    <row r="33" spans="1:21" x14ac:dyDescent="0.25">
      <c r="A33" s="1" t="s">
        <v>28</v>
      </c>
      <c r="B33" s="2">
        <v>681</v>
      </c>
      <c r="C33" s="2">
        <v>9214</v>
      </c>
      <c r="D33" s="34">
        <f t="shared" si="0"/>
        <v>24</v>
      </c>
      <c r="E33" s="2">
        <v>2</v>
      </c>
      <c r="F33" s="2">
        <v>2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1</v>
      </c>
      <c r="M33" s="2">
        <v>2</v>
      </c>
      <c r="N33" s="2">
        <v>1</v>
      </c>
      <c r="O33" s="2">
        <v>2</v>
      </c>
      <c r="P33" s="2">
        <v>1</v>
      </c>
      <c r="Q33" s="2">
        <v>2</v>
      </c>
      <c r="R33" s="2">
        <v>1</v>
      </c>
      <c r="S33" s="3">
        <v>46202</v>
      </c>
      <c r="T33" s="2"/>
      <c r="U33" s="2"/>
    </row>
    <row r="34" spans="1:21" x14ac:dyDescent="0.25">
      <c r="A34" s="1" t="s">
        <v>278</v>
      </c>
      <c r="B34" s="2">
        <v>684</v>
      </c>
      <c r="C34" s="2">
        <v>9205</v>
      </c>
      <c r="D34" s="34">
        <f t="shared" si="0"/>
        <v>48</v>
      </c>
      <c r="E34" s="2">
        <v>6</v>
      </c>
      <c r="F34" s="2"/>
      <c r="G34" s="2">
        <v>7</v>
      </c>
      <c r="H34" s="2"/>
      <c r="I34" s="2">
        <v>9</v>
      </c>
      <c r="J34" s="2"/>
      <c r="K34" s="2">
        <v>6</v>
      </c>
      <c r="L34" s="2"/>
      <c r="M34" s="2">
        <v>6</v>
      </c>
      <c r="N34" s="2"/>
      <c r="O34" s="2">
        <v>6</v>
      </c>
      <c r="P34" s="2"/>
      <c r="Q34" s="2">
        <v>8</v>
      </c>
      <c r="R34" s="2"/>
      <c r="S34" s="3">
        <v>46202</v>
      </c>
      <c r="T34" s="2"/>
      <c r="U34" s="2"/>
    </row>
    <row r="35" spans="1:21" x14ac:dyDescent="0.25">
      <c r="A35" s="1" t="s">
        <v>278</v>
      </c>
      <c r="B35" s="2">
        <v>685</v>
      </c>
      <c r="C35" s="2">
        <v>9205</v>
      </c>
      <c r="D35" s="34">
        <f t="shared" si="0"/>
        <v>48</v>
      </c>
      <c r="E35" s="2">
        <v>6</v>
      </c>
      <c r="F35" s="2"/>
      <c r="G35" s="2">
        <v>7</v>
      </c>
      <c r="H35" s="2"/>
      <c r="I35" s="2">
        <v>9</v>
      </c>
      <c r="J35" s="2"/>
      <c r="K35" s="2">
        <v>6</v>
      </c>
      <c r="L35" s="2"/>
      <c r="M35" s="2">
        <v>6</v>
      </c>
      <c r="N35" s="2"/>
      <c r="O35" s="2">
        <v>6</v>
      </c>
      <c r="P35" s="2"/>
      <c r="Q35" s="2">
        <v>8</v>
      </c>
      <c r="R35" s="2"/>
      <c r="S35" s="3">
        <v>46202</v>
      </c>
      <c r="T35" s="2"/>
      <c r="U35" s="2"/>
    </row>
    <row r="36" spans="1:21" x14ac:dyDescent="0.25">
      <c r="A36" s="1" t="s">
        <v>278</v>
      </c>
      <c r="B36" s="2">
        <v>686</v>
      </c>
      <c r="C36" s="2">
        <v>9205</v>
      </c>
      <c r="D36" s="34">
        <f t="shared" si="0"/>
        <v>48</v>
      </c>
      <c r="E36" s="2">
        <v>6</v>
      </c>
      <c r="F36" s="2"/>
      <c r="G36" s="2">
        <v>7</v>
      </c>
      <c r="H36" s="2"/>
      <c r="I36" s="2">
        <v>9</v>
      </c>
      <c r="J36" s="2"/>
      <c r="K36" s="2">
        <v>6</v>
      </c>
      <c r="L36" s="2"/>
      <c r="M36" s="2">
        <v>6</v>
      </c>
      <c r="N36" s="2"/>
      <c r="O36" s="2">
        <v>6</v>
      </c>
      <c r="P36" s="2"/>
      <c r="Q36" s="2">
        <v>8</v>
      </c>
      <c r="R36" s="2"/>
      <c r="S36" s="3">
        <v>46202</v>
      </c>
      <c r="T36" s="2"/>
      <c r="U36" s="2"/>
    </row>
    <row r="37" spans="1:21" x14ac:dyDescent="0.25">
      <c r="A37" s="1" t="s">
        <v>278</v>
      </c>
      <c r="B37" s="2">
        <v>687</v>
      </c>
      <c r="C37" s="2">
        <v>9205</v>
      </c>
      <c r="D37" s="34">
        <f t="shared" si="0"/>
        <v>48</v>
      </c>
      <c r="E37" s="2">
        <v>6</v>
      </c>
      <c r="F37" s="2"/>
      <c r="G37" s="2">
        <v>7</v>
      </c>
      <c r="H37" s="2"/>
      <c r="I37" s="2">
        <v>9</v>
      </c>
      <c r="J37" s="2"/>
      <c r="K37" s="2">
        <v>6</v>
      </c>
      <c r="L37" s="2"/>
      <c r="M37" s="2">
        <v>6</v>
      </c>
      <c r="N37" s="2"/>
      <c r="O37" s="2">
        <v>6</v>
      </c>
      <c r="P37" s="2"/>
      <c r="Q37" s="2">
        <v>8</v>
      </c>
      <c r="R37" s="2"/>
      <c r="S37" s="3">
        <v>46203</v>
      </c>
      <c r="T37" s="2"/>
      <c r="U37" s="2"/>
    </row>
    <row r="38" spans="1:21" x14ac:dyDescent="0.25">
      <c r="A38" s="1" t="s">
        <v>278</v>
      </c>
      <c r="B38" s="2">
        <v>688</v>
      </c>
      <c r="C38" s="2">
        <v>9205</v>
      </c>
      <c r="D38" s="34">
        <f t="shared" si="0"/>
        <v>48</v>
      </c>
      <c r="E38" s="2">
        <v>6</v>
      </c>
      <c r="F38" s="2"/>
      <c r="G38" s="2">
        <v>7</v>
      </c>
      <c r="H38" s="2"/>
      <c r="I38" s="2">
        <v>9</v>
      </c>
      <c r="J38" s="2"/>
      <c r="K38" s="2">
        <v>6</v>
      </c>
      <c r="L38" s="2"/>
      <c r="M38" s="2">
        <v>6</v>
      </c>
      <c r="N38" s="2"/>
      <c r="O38" s="2">
        <v>6</v>
      </c>
      <c r="P38" s="2"/>
      <c r="Q38" s="2">
        <v>8</v>
      </c>
      <c r="R38" s="2"/>
      <c r="S38" s="3">
        <v>46203</v>
      </c>
      <c r="T38" s="2"/>
      <c r="U38" s="2"/>
    </row>
    <row r="39" spans="1:21" x14ac:dyDescent="0.25">
      <c r="A39" s="1" t="s">
        <v>278</v>
      </c>
      <c r="B39" s="2">
        <v>689</v>
      </c>
      <c r="C39" s="2">
        <v>9205</v>
      </c>
      <c r="D39" s="34">
        <f t="shared" si="0"/>
        <v>48</v>
      </c>
      <c r="E39" s="2">
        <v>6</v>
      </c>
      <c r="F39" s="2"/>
      <c r="G39" s="2">
        <v>7</v>
      </c>
      <c r="H39" s="2"/>
      <c r="I39" s="2">
        <v>9</v>
      </c>
      <c r="J39" s="2"/>
      <c r="K39" s="2">
        <v>6</v>
      </c>
      <c r="L39" s="2"/>
      <c r="M39" s="2">
        <v>6</v>
      </c>
      <c r="N39" s="2"/>
      <c r="O39" s="2">
        <v>6</v>
      </c>
      <c r="P39" s="2"/>
      <c r="Q39" s="2">
        <v>8</v>
      </c>
      <c r="R39" s="2"/>
      <c r="S39" s="3">
        <v>46203</v>
      </c>
      <c r="T39" s="2"/>
      <c r="U39" s="2"/>
    </row>
    <row r="40" spans="1:21" x14ac:dyDescent="0.25">
      <c r="A40" s="1" t="s">
        <v>278</v>
      </c>
      <c r="B40" s="2">
        <v>690</v>
      </c>
      <c r="C40" s="2">
        <v>9205</v>
      </c>
      <c r="D40" s="34">
        <f t="shared" si="0"/>
        <v>48</v>
      </c>
      <c r="E40" s="2">
        <v>6</v>
      </c>
      <c r="F40" s="2"/>
      <c r="G40" s="2">
        <v>7</v>
      </c>
      <c r="H40" s="2"/>
      <c r="I40" s="2">
        <v>9</v>
      </c>
      <c r="J40" s="2"/>
      <c r="K40" s="2">
        <v>6</v>
      </c>
      <c r="L40" s="2"/>
      <c r="M40" s="2">
        <v>6</v>
      </c>
      <c r="N40" s="2"/>
      <c r="O40" s="2">
        <v>6</v>
      </c>
      <c r="P40" s="2"/>
      <c r="Q40" s="2">
        <v>8</v>
      </c>
      <c r="R40" s="2"/>
      <c r="S40" s="3">
        <v>46203</v>
      </c>
      <c r="T40" s="2"/>
      <c r="U40" s="2"/>
    </row>
    <row r="41" spans="1:21" x14ac:dyDescent="0.25">
      <c r="A41" s="1" t="s">
        <v>278</v>
      </c>
      <c r="B41" s="2">
        <v>691</v>
      </c>
      <c r="C41" s="2">
        <v>9205</v>
      </c>
      <c r="D41" s="34">
        <f t="shared" si="0"/>
        <v>48</v>
      </c>
      <c r="E41" s="2">
        <v>6</v>
      </c>
      <c r="F41" s="2"/>
      <c r="G41" s="2">
        <v>7</v>
      </c>
      <c r="H41" s="2"/>
      <c r="I41" s="2">
        <v>9</v>
      </c>
      <c r="J41" s="2"/>
      <c r="K41" s="2">
        <v>6</v>
      </c>
      <c r="L41" s="2"/>
      <c r="M41" s="2">
        <v>6</v>
      </c>
      <c r="N41" s="2"/>
      <c r="O41" s="2">
        <v>6</v>
      </c>
      <c r="P41" s="2"/>
      <c r="Q41" s="2">
        <v>8</v>
      </c>
      <c r="R41" s="2"/>
      <c r="S41" s="3">
        <v>46203</v>
      </c>
      <c r="T41" s="2"/>
      <c r="U41" s="2"/>
    </row>
    <row r="42" spans="1:21" x14ac:dyDescent="0.25">
      <c r="A42" s="1" t="s">
        <v>278</v>
      </c>
      <c r="B42" s="2">
        <v>692</v>
      </c>
      <c r="C42" s="2">
        <v>9205</v>
      </c>
      <c r="D42" s="34">
        <f t="shared" si="0"/>
        <v>48</v>
      </c>
      <c r="E42" s="2">
        <v>6</v>
      </c>
      <c r="F42" s="2"/>
      <c r="G42" s="2">
        <v>7</v>
      </c>
      <c r="H42" s="2"/>
      <c r="I42" s="2">
        <v>9</v>
      </c>
      <c r="J42" s="2"/>
      <c r="K42" s="2">
        <v>6</v>
      </c>
      <c r="L42" s="2"/>
      <c r="M42" s="2">
        <v>6</v>
      </c>
      <c r="N42" s="2"/>
      <c r="O42" s="2">
        <v>6</v>
      </c>
      <c r="P42" s="2"/>
      <c r="Q42" s="2">
        <v>8</v>
      </c>
      <c r="R42" s="2"/>
      <c r="S42" s="3">
        <v>46203</v>
      </c>
      <c r="T42" s="2"/>
      <c r="U42" s="2"/>
    </row>
    <row r="43" spans="1:21" x14ac:dyDescent="0.25">
      <c r="A43" s="1" t="s">
        <v>278</v>
      </c>
      <c r="B43" s="2">
        <v>693</v>
      </c>
      <c r="C43" s="2">
        <v>9205</v>
      </c>
      <c r="D43" s="34">
        <f t="shared" si="0"/>
        <v>48</v>
      </c>
      <c r="E43" s="2">
        <v>6</v>
      </c>
      <c r="F43" s="2"/>
      <c r="G43" s="2">
        <v>7</v>
      </c>
      <c r="H43" s="2"/>
      <c r="I43" s="2">
        <v>9</v>
      </c>
      <c r="J43" s="2"/>
      <c r="K43" s="2">
        <v>6</v>
      </c>
      <c r="L43" s="2"/>
      <c r="M43" s="2">
        <v>6</v>
      </c>
      <c r="N43" s="2"/>
      <c r="O43" s="2">
        <v>6</v>
      </c>
      <c r="P43" s="2"/>
      <c r="Q43" s="2">
        <v>8</v>
      </c>
      <c r="R43" s="2"/>
      <c r="S43" s="3">
        <v>46203</v>
      </c>
      <c r="T43" s="2"/>
      <c r="U43" s="2"/>
    </row>
    <row r="44" spans="1:21" x14ac:dyDescent="0.25">
      <c r="A44" s="1" t="s">
        <v>278</v>
      </c>
      <c r="B44" s="2">
        <v>694</v>
      </c>
      <c r="C44" s="2">
        <v>9205</v>
      </c>
      <c r="D44" s="34">
        <f t="shared" si="0"/>
        <v>48</v>
      </c>
      <c r="E44" s="2">
        <v>6</v>
      </c>
      <c r="F44" s="2"/>
      <c r="G44" s="2">
        <v>7</v>
      </c>
      <c r="H44" s="2"/>
      <c r="I44" s="2">
        <v>9</v>
      </c>
      <c r="J44" s="2"/>
      <c r="K44" s="2">
        <v>7</v>
      </c>
      <c r="L44" s="2"/>
      <c r="M44" s="2">
        <v>7</v>
      </c>
      <c r="N44" s="2"/>
      <c r="O44" s="2">
        <v>7</v>
      </c>
      <c r="P44" s="2"/>
      <c r="Q44" s="2">
        <v>5</v>
      </c>
      <c r="R44" s="2"/>
      <c r="S44" s="3">
        <v>46203</v>
      </c>
      <c r="T44" s="2"/>
      <c r="U44" s="2"/>
    </row>
    <row r="45" spans="1:21" x14ac:dyDescent="0.25">
      <c r="A45" s="1" t="s">
        <v>278</v>
      </c>
      <c r="B45" s="2">
        <v>695</v>
      </c>
      <c r="C45" s="2">
        <v>9205</v>
      </c>
      <c r="D45" s="34">
        <f t="shared" si="0"/>
        <v>22</v>
      </c>
      <c r="E45" s="2">
        <v>3</v>
      </c>
      <c r="F45" s="2"/>
      <c r="G45" s="2">
        <v>4</v>
      </c>
      <c r="H45" s="2"/>
      <c r="I45" s="2">
        <v>1</v>
      </c>
      <c r="J45" s="2"/>
      <c r="K45" s="2">
        <v>4</v>
      </c>
      <c r="L45" s="2"/>
      <c r="M45" s="2">
        <v>7</v>
      </c>
      <c r="N45" s="2"/>
      <c r="O45" s="2">
        <v>3</v>
      </c>
      <c r="P45" s="2"/>
      <c r="Q45" s="2"/>
      <c r="R45" s="2"/>
      <c r="S45" s="3">
        <v>46202</v>
      </c>
      <c r="T45" s="2"/>
      <c r="U45" s="2"/>
    </row>
    <row r="46" spans="1:21" x14ac:dyDescent="0.25">
      <c r="D46" s="17">
        <f>SUM(D3:D45)</f>
        <v>1546</v>
      </c>
    </row>
    <row r="47" spans="1:21" x14ac:dyDescent="0.25">
      <c r="D47" s="31"/>
    </row>
    <row r="48" spans="1:21" x14ac:dyDescent="0.25">
      <c r="A48" s="6" t="s">
        <v>0</v>
      </c>
      <c r="B48" s="6" t="s">
        <v>1</v>
      </c>
      <c r="C48" s="6" t="s">
        <v>3</v>
      </c>
      <c r="D48" s="12" t="s">
        <v>2</v>
      </c>
      <c r="E48" s="6">
        <v>22</v>
      </c>
      <c r="F48" s="6">
        <v>22.5</v>
      </c>
      <c r="G48" s="6">
        <v>23</v>
      </c>
      <c r="H48" s="6">
        <v>23.5</v>
      </c>
      <c r="I48" s="6">
        <v>24</v>
      </c>
      <c r="J48" s="6">
        <v>24.5</v>
      </c>
      <c r="K48" s="6">
        <v>25</v>
      </c>
      <c r="L48" s="6">
        <v>25.5</v>
      </c>
      <c r="M48" s="6">
        <v>26</v>
      </c>
      <c r="N48" s="110" t="s">
        <v>233</v>
      </c>
      <c r="O48" s="111"/>
      <c r="P48" s="82" t="s">
        <v>9</v>
      </c>
      <c r="Q48" s="83"/>
      <c r="R48" s="82" t="s">
        <v>10</v>
      </c>
      <c r="S48" s="83"/>
      <c r="T48" s="47" t="s">
        <v>9</v>
      </c>
    </row>
    <row r="49" spans="1:20" x14ac:dyDescent="0.25">
      <c r="A49" s="1" t="s">
        <v>275</v>
      </c>
      <c r="B49" s="2">
        <v>647</v>
      </c>
      <c r="C49" s="2">
        <v>2402</v>
      </c>
      <c r="D49" s="34">
        <f t="shared" ref="D49:D51" si="1">SUM(E49:M49)</f>
        <v>48</v>
      </c>
      <c r="E49" s="2">
        <v>2</v>
      </c>
      <c r="F49" s="2">
        <v>2</v>
      </c>
      <c r="G49" s="2">
        <v>6</v>
      </c>
      <c r="H49" s="2">
        <v>6</v>
      </c>
      <c r="I49" s="2">
        <v>8</v>
      </c>
      <c r="J49" s="2">
        <v>8</v>
      </c>
      <c r="K49" s="2">
        <v>8</v>
      </c>
      <c r="L49" s="2">
        <v>4</v>
      </c>
      <c r="M49" s="2">
        <v>4</v>
      </c>
      <c r="N49" s="76">
        <v>46202</v>
      </c>
      <c r="O49" s="109"/>
      <c r="P49" s="79"/>
      <c r="Q49" s="78"/>
      <c r="R49" s="79"/>
      <c r="S49" s="78"/>
      <c r="T49" s="2"/>
    </row>
    <row r="50" spans="1:20" x14ac:dyDescent="0.25">
      <c r="A50" s="1" t="s">
        <v>275</v>
      </c>
      <c r="B50" s="2">
        <v>648</v>
      </c>
      <c r="C50" s="2">
        <v>9240</v>
      </c>
      <c r="D50" s="34">
        <f t="shared" si="1"/>
        <v>48</v>
      </c>
      <c r="E50" s="2">
        <v>2</v>
      </c>
      <c r="F50" s="2">
        <v>2</v>
      </c>
      <c r="G50" s="2">
        <v>6</v>
      </c>
      <c r="H50" s="2">
        <v>6</v>
      </c>
      <c r="I50" s="2">
        <v>8</v>
      </c>
      <c r="J50" s="2">
        <v>8</v>
      </c>
      <c r="K50" s="2">
        <v>8</v>
      </c>
      <c r="L50" s="2">
        <v>4</v>
      </c>
      <c r="M50" s="2">
        <v>4</v>
      </c>
      <c r="N50" s="76">
        <v>46202</v>
      </c>
      <c r="O50" s="78"/>
      <c r="P50" s="79"/>
      <c r="Q50" s="78"/>
      <c r="R50" s="79"/>
      <c r="S50" s="78"/>
      <c r="T50" s="2"/>
    </row>
    <row r="51" spans="1:20" x14ac:dyDescent="0.25">
      <c r="A51" s="1" t="s">
        <v>275</v>
      </c>
      <c r="B51" s="2">
        <v>649</v>
      </c>
      <c r="C51" s="2">
        <v>2407</v>
      </c>
      <c r="D51" s="34">
        <f t="shared" si="1"/>
        <v>48</v>
      </c>
      <c r="E51" s="2">
        <v>2</v>
      </c>
      <c r="F51" s="2">
        <v>2</v>
      </c>
      <c r="G51" s="2">
        <v>6</v>
      </c>
      <c r="H51" s="2">
        <v>6</v>
      </c>
      <c r="I51" s="2">
        <v>8</v>
      </c>
      <c r="J51" s="2">
        <v>8</v>
      </c>
      <c r="K51" s="2">
        <v>8</v>
      </c>
      <c r="L51" s="2">
        <v>4</v>
      </c>
      <c r="M51" s="2">
        <v>4</v>
      </c>
      <c r="N51" s="76">
        <v>46202</v>
      </c>
      <c r="O51" s="109"/>
      <c r="P51" s="79"/>
      <c r="Q51" s="78"/>
      <c r="R51" s="79"/>
      <c r="S51" s="78"/>
      <c r="T51" s="2"/>
    </row>
    <row r="52" spans="1:20" x14ac:dyDescent="0.25">
      <c r="A52" s="1" t="s">
        <v>275</v>
      </c>
      <c r="B52" s="2">
        <v>650</v>
      </c>
      <c r="C52" s="2">
        <v>9218</v>
      </c>
      <c r="D52" s="34">
        <f>SUM(E52:M52)</f>
        <v>48</v>
      </c>
      <c r="E52" s="2">
        <v>2</v>
      </c>
      <c r="F52" s="2">
        <v>2</v>
      </c>
      <c r="G52" s="2">
        <v>6</v>
      </c>
      <c r="H52" s="2">
        <v>6</v>
      </c>
      <c r="I52" s="2">
        <v>8</v>
      </c>
      <c r="J52" s="2">
        <v>8</v>
      </c>
      <c r="K52" s="2">
        <v>8</v>
      </c>
      <c r="L52" s="2">
        <v>4</v>
      </c>
      <c r="M52" s="2">
        <v>4</v>
      </c>
      <c r="N52" s="76">
        <v>46202</v>
      </c>
      <c r="O52" s="78"/>
      <c r="P52" s="79"/>
      <c r="Q52" s="78"/>
      <c r="R52" s="79"/>
      <c r="S52" s="78"/>
      <c r="T52" s="2"/>
    </row>
    <row r="53" spans="1:20" x14ac:dyDescent="0.25">
      <c r="A53" s="1" t="s">
        <v>276</v>
      </c>
      <c r="B53" s="2">
        <v>651</v>
      </c>
      <c r="C53" s="2">
        <v>9240</v>
      </c>
      <c r="D53" s="34">
        <f t="shared" ref="D53:D56" si="2">SUM(E53:M53)</f>
        <v>30</v>
      </c>
      <c r="E53" s="2">
        <v>3</v>
      </c>
      <c r="F53" s="2">
        <v>3</v>
      </c>
      <c r="G53" s="2">
        <v>5</v>
      </c>
      <c r="H53" s="2">
        <v>5</v>
      </c>
      <c r="I53" s="2">
        <v>5</v>
      </c>
      <c r="J53" s="2">
        <v>5</v>
      </c>
      <c r="K53" s="2">
        <v>4</v>
      </c>
      <c r="L53" s="2"/>
      <c r="M53" s="2"/>
      <c r="N53" s="76">
        <v>46202</v>
      </c>
      <c r="O53" s="109"/>
      <c r="P53" s="79"/>
      <c r="Q53" s="78"/>
      <c r="R53" s="79"/>
      <c r="S53" s="78"/>
      <c r="T53" s="2"/>
    </row>
    <row r="54" spans="1:20" x14ac:dyDescent="0.25">
      <c r="A54" s="1" t="s">
        <v>276</v>
      </c>
      <c r="B54" s="2">
        <v>652</v>
      </c>
      <c r="C54" s="2">
        <v>9264</v>
      </c>
      <c r="D54" s="34">
        <f t="shared" si="2"/>
        <v>30</v>
      </c>
      <c r="E54" s="2">
        <v>3</v>
      </c>
      <c r="F54" s="2">
        <v>3</v>
      </c>
      <c r="G54" s="2">
        <v>5</v>
      </c>
      <c r="H54" s="2">
        <v>5</v>
      </c>
      <c r="I54" s="2">
        <v>5</v>
      </c>
      <c r="J54" s="2">
        <v>5</v>
      </c>
      <c r="K54" s="2">
        <v>4</v>
      </c>
      <c r="L54" s="2"/>
      <c r="M54" s="2"/>
      <c r="N54" s="76">
        <v>46202</v>
      </c>
      <c r="O54" s="78"/>
      <c r="P54" s="79"/>
      <c r="Q54" s="78"/>
      <c r="R54" s="79"/>
      <c r="S54" s="78"/>
      <c r="T54" s="2"/>
    </row>
    <row r="55" spans="1:20" x14ac:dyDescent="0.25">
      <c r="A55" s="1" t="s">
        <v>276</v>
      </c>
      <c r="B55" s="2">
        <v>653</v>
      </c>
      <c r="C55" s="2">
        <v>9218</v>
      </c>
      <c r="D55" s="34">
        <f t="shared" si="2"/>
        <v>30</v>
      </c>
      <c r="E55" s="2">
        <v>3</v>
      </c>
      <c r="F55" s="2">
        <v>3</v>
      </c>
      <c r="G55" s="2">
        <v>5</v>
      </c>
      <c r="H55" s="2">
        <v>5</v>
      </c>
      <c r="I55" s="2">
        <v>5</v>
      </c>
      <c r="J55" s="2">
        <v>5</v>
      </c>
      <c r="K55" s="2">
        <v>4</v>
      </c>
      <c r="L55" s="2"/>
      <c r="M55" s="2"/>
      <c r="N55" s="76">
        <v>46202</v>
      </c>
      <c r="O55" s="109"/>
      <c r="P55" s="79"/>
      <c r="Q55" s="78"/>
      <c r="R55" s="79"/>
      <c r="S55" s="78"/>
      <c r="T55" s="2"/>
    </row>
    <row r="56" spans="1:20" x14ac:dyDescent="0.25">
      <c r="A56" s="1" t="s">
        <v>276</v>
      </c>
      <c r="B56" s="2">
        <v>654</v>
      </c>
      <c r="C56" s="2">
        <v>2405</v>
      </c>
      <c r="D56" s="34">
        <f t="shared" si="2"/>
        <v>30</v>
      </c>
      <c r="E56" s="2">
        <v>3</v>
      </c>
      <c r="F56" s="2">
        <v>3</v>
      </c>
      <c r="G56" s="2">
        <v>5</v>
      </c>
      <c r="H56" s="2">
        <v>5</v>
      </c>
      <c r="I56" s="2">
        <v>5</v>
      </c>
      <c r="J56" s="2">
        <v>5</v>
      </c>
      <c r="K56" s="2">
        <v>4</v>
      </c>
      <c r="L56" s="2"/>
      <c r="M56" s="2"/>
      <c r="N56" s="76">
        <v>46202</v>
      </c>
      <c r="O56" s="78"/>
      <c r="P56" s="79"/>
      <c r="Q56" s="78"/>
      <c r="R56" s="79"/>
      <c r="S56" s="78"/>
      <c r="T56" s="2"/>
    </row>
    <row r="57" spans="1:20" x14ac:dyDescent="0.25">
      <c r="D57" s="17">
        <f>SUM(D49:D56)</f>
        <v>312</v>
      </c>
    </row>
    <row r="58" spans="1:20" x14ac:dyDescent="0.25">
      <c r="C58" s="48">
        <f>D46+D57</f>
        <v>1858</v>
      </c>
      <c r="D58" s="31"/>
    </row>
    <row r="59" spans="1:20" x14ac:dyDescent="0.25">
      <c r="D59" s="31"/>
    </row>
    <row r="60" spans="1:20" x14ac:dyDescent="0.25">
      <c r="D60" s="31"/>
    </row>
    <row r="61" spans="1:20" x14ac:dyDescent="0.25">
      <c r="D61" s="31"/>
    </row>
    <row r="62" spans="1:20" x14ac:dyDescent="0.25">
      <c r="D62" s="31"/>
    </row>
    <row r="63" spans="1:20" x14ac:dyDescent="0.25">
      <c r="D63" s="31"/>
    </row>
    <row r="64" spans="1:20" x14ac:dyDescent="0.25">
      <c r="D64" s="31"/>
    </row>
    <row r="65" spans="4:4" x14ac:dyDescent="0.25">
      <c r="D65" s="31"/>
    </row>
    <row r="66" spans="4:4" x14ac:dyDescent="0.25">
      <c r="D66" s="31"/>
    </row>
    <row r="67" spans="4:4" x14ac:dyDescent="0.25">
      <c r="D67" s="31"/>
    </row>
    <row r="68" spans="4:4" x14ac:dyDescent="0.25">
      <c r="D68" s="31"/>
    </row>
    <row r="69" spans="4:4" x14ac:dyDescent="0.25">
      <c r="D69" s="31"/>
    </row>
    <row r="70" spans="4:4" x14ac:dyDescent="0.25">
      <c r="D70" s="31"/>
    </row>
    <row r="71" spans="4:4" x14ac:dyDescent="0.25">
      <c r="D71" s="31"/>
    </row>
    <row r="72" spans="4:4" x14ac:dyDescent="0.25">
      <c r="D72" s="31"/>
    </row>
    <row r="73" spans="4:4" x14ac:dyDescent="0.25">
      <c r="D73" s="31"/>
    </row>
    <row r="74" spans="4:4" x14ac:dyDescent="0.25">
      <c r="D74" s="31"/>
    </row>
    <row r="75" spans="4:4" x14ac:dyDescent="0.25">
      <c r="D75" s="31"/>
    </row>
    <row r="76" spans="4:4" x14ac:dyDescent="0.25">
      <c r="D76" s="31"/>
    </row>
    <row r="77" spans="4:4" x14ac:dyDescent="0.25">
      <c r="D77" s="31"/>
    </row>
    <row r="78" spans="4:4" x14ac:dyDescent="0.25">
      <c r="D78" s="31"/>
    </row>
    <row r="79" spans="4:4" x14ac:dyDescent="0.25">
      <c r="D79" s="31"/>
    </row>
    <row r="80" spans="4:4" x14ac:dyDescent="0.25">
      <c r="D80" s="31"/>
    </row>
    <row r="81" spans="4:4" x14ac:dyDescent="0.25">
      <c r="D81" s="31"/>
    </row>
    <row r="82" spans="4:4" x14ac:dyDescent="0.25">
      <c r="D82" s="31"/>
    </row>
    <row r="83" spans="4:4" x14ac:dyDescent="0.25">
      <c r="D83" s="31"/>
    </row>
    <row r="84" spans="4:4" x14ac:dyDescent="0.25">
      <c r="D84" s="31"/>
    </row>
    <row r="85" spans="4:4" x14ac:dyDescent="0.25">
      <c r="D85" s="31"/>
    </row>
    <row r="86" spans="4:4" x14ac:dyDescent="0.25">
      <c r="D86" s="31"/>
    </row>
    <row r="87" spans="4:4" x14ac:dyDescent="0.25">
      <c r="D87" s="31"/>
    </row>
    <row r="88" spans="4:4" x14ac:dyDescent="0.25">
      <c r="D88" s="31"/>
    </row>
    <row r="89" spans="4:4" x14ac:dyDescent="0.25">
      <c r="D89" s="31"/>
    </row>
    <row r="90" spans="4:4" x14ac:dyDescent="0.25">
      <c r="D90" s="31"/>
    </row>
    <row r="91" spans="4:4" x14ac:dyDescent="0.25">
      <c r="D91" s="31"/>
    </row>
    <row r="92" spans="4:4" x14ac:dyDescent="0.25">
      <c r="D92" s="31"/>
    </row>
    <row r="93" spans="4:4" x14ac:dyDescent="0.25">
      <c r="D93" s="31"/>
    </row>
    <row r="94" spans="4:4" x14ac:dyDescent="0.25">
      <c r="D94" s="31"/>
    </row>
    <row r="95" spans="4:4" x14ac:dyDescent="0.25">
      <c r="D95" s="31"/>
    </row>
    <row r="96" spans="4:4" x14ac:dyDescent="0.25">
      <c r="D96" s="31"/>
    </row>
    <row r="97" spans="4:4" x14ac:dyDescent="0.25">
      <c r="D97" s="31"/>
    </row>
    <row r="98" spans="4:4" x14ac:dyDescent="0.25">
      <c r="D98" s="31"/>
    </row>
    <row r="99" spans="4:4" x14ac:dyDescent="0.25">
      <c r="D99" s="31"/>
    </row>
    <row r="100" spans="4:4" x14ac:dyDescent="0.25">
      <c r="D100" s="31"/>
    </row>
    <row r="101" spans="4:4" x14ac:dyDescent="0.25">
      <c r="D101" s="31"/>
    </row>
    <row r="102" spans="4:4" x14ac:dyDescent="0.25">
      <c r="D102" s="31"/>
    </row>
    <row r="103" spans="4:4" x14ac:dyDescent="0.25">
      <c r="D103" s="31"/>
    </row>
    <row r="104" spans="4:4" x14ac:dyDescent="0.25">
      <c r="D104" s="31"/>
    </row>
    <row r="105" spans="4:4" x14ac:dyDescent="0.25">
      <c r="D105" s="31"/>
    </row>
    <row r="106" spans="4:4" x14ac:dyDescent="0.25">
      <c r="D106" s="31"/>
    </row>
    <row r="107" spans="4:4" x14ac:dyDescent="0.25">
      <c r="D107" s="31"/>
    </row>
    <row r="108" spans="4:4" x14ac:dyDescent="0.25">
      <c r="D108" s="31"/>
    </row>
    <row r="109" spans="4:4" x14ac:dyDescent="0.25">
      <c r="D109" s="31"/>
    </row>
    <row r="110" spans="4:4" x14ac:dyDescent="0.25">
      <c r="D110" s="31"/>
    </row>
    <row r="111" spans="4:4" x14ac:dyDescent="0.25">
      <c r="D111" s="31"/>
    </row>
    <row r="112" spans="4:4" x14ac:dyDescent="0.25">
      <c r="D112" s="31"/>
    </row>
    <row r="113" spans="4:4" x14ac:dyDescent="0.25">
      <c r="D113" s="31"/>
    </row>
    <row r="114" spans="4:4" x14ac:dyDescent="0.25">
      <c r="D114" s="31"/>
    </row>
    <row r="115" spans="4:4" x14ac:dyDescent="0.25">
      <c r="D115" s="31"/>
    </row>
    <row r="116" spans="4:4" x14ac:dyDescent="0.25">
      <c r="D116" s="31"/>
    </row>
    <row r="117" spans="4:4" x14ac:dyDescent="0.25">
      <c r="D117" s="31"/>
    </row>
    <row r="118" spans="4:4" x14ac:dyDescent="0.25">
      <c r="D118" s="31"/>
    </row>
    <row r="119" spans="4:4" x14ac:dyDescent="0.25">
      <c r="D119" s="31"/>
    </row>
    <row r="120" spans="4:4" x14ac:dyDescent="0.25">
      <c r="D120" s="31"/>
    </row>
    <row r="121" spans="4:4" x14ac:dyDescent="0.25">
      <c r="D121" s="31"/>
    </row>
    <row r="122" spans="4:4" x14ac:dyDescent="0.25">
      <c r="D122" s="31"/>
    </row>
    <row r="123" spans="4:4" x14ac:dyDescent="0.25">
      <c r="D123" s="31"/>
    </row>
    <row r="124" spans="4:4" x14ac:dyDescent="0.25">
      <c r="D124" s="31"/>
    </row>
    <row r="125" spans="4:4" x14ac:dyDescent="0.25">
      <c r="D125" s="31"/>
    </row>
    <row r="126" spans="4:4" x14ac:dyDescent="0.25">
      <c r="D126" s="31"/>
    </row>
    <row r="127" spans="4:4" x14ac:dyDescent="0.25">
      <c r="D127" s="31"/>
    </row>
    <row r="128" spans="4:4" x14ac:dyDescent="0.25">
      <c r="D128" s="31"/>
    </row>
    <row r="129" spans="4:4" x14ac:dyDescent="0.25">
      <c r="D129" s="31"/>
    </row>
    <row r="130" spans="4:4" x14ac:dyDescent="0.25">
      <c r="D130" s="31"/>
    </row>
    <row r="131" spans="4:4" x14ac:dyDescent="0.25">
      <c r="D131" s="31"/>
    </row>
    <row r="132" spans="4:4" x14ac:dyDescent="0.25">
      <c r="D132" s="31"/>
    </row>
    <row r="133" spans="4:4" x14ac:dyDescent="0.25">
      <c r="D133" s="31"/>
    </row>
    <row r="134" spans="4:4" x14ac:dyDescent="0.25">
      <c r="D134" s="31"/>
    </row>
    <row r="135" spans="4:4" x14ac:dyDescent="0.25">
      <c r="D135" s="31"/>
    </row>
    <row r="136" spans="4:4" x14ac:dyDescent="0.25">
      <c r="D136" s="31"/>
    </row>
    <row r="137" spans="4:4" x14ac:dyDescent="0.25">
      <c r="D137" s="31"/>
    </row>
    <row r="138" spans="4:4" x14ac:dyDescent="0.25">
      <c r="D138" s="31"/>
    </row>
    <row r="139" spans="4:4" x14ac:dyDescent="0.25">
      <c r="D139" s="31"/>
    </row>
    <row r="140" spans="4:4" x14ac:dyDescent="0.25">
      <c r="D140" s="31"/>
    </row>
    <row r="141" spans="4:4" x14ac:dyDescent="0.25">
      <c r="D141" s="31"/>
    </row>
    <row r="142" spans="4:4" x14ac:dyDescent="0.25">
      <c r="D142" s="31"/>
    </row>
    <row r="143" spans="4:4" x14ac:dyDescent="0.25">
      <c r="D143" s="31"/>
    </row>
    <row r="144" spans="4:4" x14ac:dyDescent="0.25">
      <c r="D144" s="31"/>
    </row>
    <row r="145" spans="4:4" x14ac:dyDescent="0.25">
      <c r="D145" s="31"/>
    </row>
    <row r="146" spans="4:4" x14ac:dyDescent="0.25">
      <c r="D146" s="31"/>
    </row>
    <row r="147" spans="4:4" x14ac:dyDescent="0.25">
      <c r="D147" s="31"/>
    </row>
    <row r="148" spans="4:4" x14ac:dyDescent="0.25">
      <c r="D148" s="31"/>
    </row>
    <row r="149" spans="4:4" x14ac:dyDescent="0.25">
      <c r="D149" s="31"/>
    </row>
    <row r="150" spans="4:4" x14ac:dyDescent="0.25">
      <c r="D150" s="31"/>
    </row>
    <row r="151" spans="4:4" x14ac:dyDescent="0.25">
      <c r="D151" s="31"/>
    </row>
    <row r="152" spans="4:4" x14ac:dyDescent="0.25">
      <c r="D152" s="31"/>
    </row>
    <row r="153" spans="4:4" x14ac:dyDescent="0.25">
      <c r="D153" s="31"/>
    </row>
    <row r="154" spans="4:4" x14ac:dyDescent="0.25">
      <c r="D154" s="31"/>
    </row>
    <row r="155" spans="4:4" x14ac:dyDescent="0.25">
      <c r="D155" s="31"/>
    </row>
    <row r="156" spans="4:4" x14ac:dyDescent="0.25">
      <c r="D156" s="31"/>
    </row>
    <row r="157" spans="4:4" x14ac:dyDescent="0.25">
      <c r="D157" s="31"/>
    </row>
    <row r="158" spans="4:4" x14ac:dyDescent="0.25">
      <c r="D158" s="31"/>
    </row>
    <row r="159" spans="4:4" x14ac:dyDescent="0.25">
      <c r="D159" s="31"/>
    </row>
    <row r="160" spans="4:4" x14ac:dyDescent="0.25">
      <c r="D160" s="31"/>
    </row>
    <row r="161" spans="4:4" x14ac:dyDescent="0.25">
      <c r="D161" s="31"/>
    </row>
    <row r="162" spans="4:4" x14ac:dyDescent="0.25">
      <c r="D162" s="31"/>
    </row>
    <row r="163" spans="4:4" x14ac:dyDescent="0.25">
      <c r="D163" s="31"/>
    </row>
    <row r="164" spans="4:4" x14ac:dyDescent="0.25">
      <c r="D164" s="31"/>
    </row>
    <row r="165" spans="4:4" x14ac:dyDescent="0.25">
      <c r="D165" s="31"/>
    </row>
    <row r="166" spans="4:4" x14ac:dyDescent="0.25">
      <c r="D166" s="31"/>
    </row>
    <row r="167" spans="4:4" x14ac:dyDescent="0.25">
      <c r="D167" s="31"/>
    </row>
    <row r="168" spans="4:4" x14ac:dyDescent="0.25">
      <c r="D168" s="31"/>
    </row>
    <row r="169" spans="4:4" x14ac:dyDescent="0.25">
      <c r="D169" s="31"/>
    </row>
    <row r="170" spans="4:4" x14ac:dyDescent="0.25">
      <c r="D170" s="31"/>
    </row>
    <row r="171" spans="4:4" x14ac:dyDescent="0.25">
      <c r="D171" s="31"/>
    </row>
    <row r="172" spans="4:4" x14ac:dyDescent="0.25">
      <c r="D172" s="31"/>
    </row>
    <row r="173" spans="4:4" x14ac:dyDescent="0.25">
      <c r="D173" s="31"/>
    </row>
    <row r="174" spans="4:4" x14ac:dyDescent="0.25">
      <c r="D174" s="31"/>
    </row>
    <row r="175" spans="4:4" x14ac:dyDescent="0.25">
      <c r="D175" s="31"/>
    </row>
    <row r="176" spans="4:4" x14ac:dyDescent="0.25">
      <c r="D176" s="31"/>
    </row>
    <row r="177" spans="4:4" x14ac:dyDescent="0.25">
      <c r="D177" s="31"/>
    </row>
    <row r="178" spans="4:4" x14ac:dyDescent="0.25">
      <c r="D178" s="31"/>
    </row>
    <row r="179" spans="4:4" x14ac:dyDescent="0.25">
      <c r="D179" s="31"/>
    </row>
    <row r="180" spans="4:4" x14ac:dyDescent="0.25">
      <c r="D180" s="31"/>
    </row>
    <row r="181" spans="4:4" x14ac:dyDescent="0.25">
      <c r="D181" s="31"/>
    </row>
    <row r="182" spans="4:4" x14ac:dyDescent="0.25">
      <c r="D182" s="31"/>
    </row>
    <row r="183" spans="4:4" x14ac:dyDescent="0.25">
      <c r="D183" s="31"/>
    </row>
    <row r="184" spans="4:4" x14ac:dyDescent="0.25">
      <c r="D184" s="31"/>
    </row>
    <row r="185" spans="4:4" x14ac:dyDescent="0.25">
      <c r="D185" s="31"/>
    </row>
    <row r="186" spans="4:4" x14ac:dyDescent="0.25">
      <c r="D186" s="31"/>
    </row>
    <row r="187" spans="4:4" x14ac:dyDescent="0.25">
      <c r="D187" s="31"/>
    </row>
    <row r="188" spans="4:4" x14ac:dyDescent="0.25">
      <c r="D188" s="31"/>
    </row>
    <row r="189" spans="4:4" x14ac:dyDescent="0.25">
      <c r="D189" s="31"/>
    </row>
    <row r="190" spans="4:4" x14ac:dyDescent="0.25">
      <c r="D190" s="31"/>
    </row>
    <row r="191" spans="4:4" x14ac:dyDescent="0.25">
      <c r="D191" s="31"/>
    </row>
    <row r="192" spans="4:4" x14ac:dyDescent="0.25">
      <c r="D192" s="31"/>
    </row>
    <row r="193" spans="4:4" x14ac:dyDescent="0.25">
      <c r="D193" s="31"/>
    </row>
    <row r="194" spans="4:4" x14ac:dyDescent="0.25">
      <c r="D194" s="31"/>
    </row>
    <row r="195" spans="4:4" x14ac:dyDescent="0.25">
      <c r="D195" s="31"/>
    </row>
    <row r="196" spans="4:4" x14ac:dyDescent="0.25">
      <c r="D196" s="31"/>
    </row>
    <row r="197" spans="4:4" x14ac:dyDescent="0.25">
      <c r="D197" s="31"/>
    </row>
    <row r="198" spans="4:4" x14ac:dyDescent="0.25">
      <c r="D198" s="31"/>
    </row>
    <row r="199" spans="4:4" x14ac:dyDescent="0.25">
      <c r="D199" s="31"/>
    </row>
    <row r="200" spans="4:4" x14ac:dyDescent="0.25">
      <c r="D200" s="31"/>
    </row>
    <row r="201" spans="4:4" x14ac:dyDescent="0.25">
      <c r="D201" s="31"/>
    </row>
    <row r="202" spans="4:4" x14ac:dyDescent="0.25">
      <c r="D202" s="31"/>
    </row>
    <row r="203" spans="4:4" x14ac:dyDescent="0.25">
      <c r="D203" s="31"/>
    </row>
    <row r="204" spans="4:4" x14ac:dyDescent="0.25">
      <c r="D204" s="31"/>
    </row>
    <row r="205" spans="4:4" x14ac:dyDescent="0.25">
      <c r="D205" s="31"/>
    </row>
    <row r="206" spans="4:4" x14ac:dyDescent="0.25">
      <c r="D206" s="31"/>
    </row>
    <row r="207" spans="4:4" x14ac:dyDescent="0.25">
      <c r="D207" s="31"/>
    </row>
    <row r="208" spans="4:4" x14ac:dyDescent="0.25">
      <c r="D208" s="31"/>
    </row>
    <row r="209" spans="4:4" x14ac:dyDescent="0.25">
      <c r="D209" s="31"/>
    </row>
    <row r="210" spans="4:4" x14ac:dyDescent="0.25">
      <c r="D210" s="31"/>
    </row>
    <row r="211" spans="4:4" x14ac:dyDescent="0.25">
      <c r="D211" s="31"/>
    </row>
    <row r="212" spans="4:4" x14ac:dyDescent="0.25">
      <c r="D212" s="31"/>
    </row>
    <row r="213" spans="4:4" x14ac:dyDescent="0.25">
      <c r="D213" s="31"/>
    </row>
    <row r="214" spans="4:4" x14ac:dyDescent="0.25">
      <c r="D214" s="31"/>
    </row>
    <row r="215" spans="4:4" x14ac:dyDescent="0.25">
      <c r="D215" s="31"/>
    </row>
    <row r="216" spans="4:4" x14ac:dyDescent="0.25">
      <c r="D216" s="31"/>
    </row>
    <row r="217" spans="4:4" x14ac:dyDescent="0.25">
      <c r="D217" s="31"/>
    </row>
    <row r="218" spans="4:4" x14ac:dyDescent="0.25">
      <c r="D218" s="31"/>
    </row>
    <row r="219" spans="4:4" x14ac:dyDescent="0.25">
      <c r="D219" s="31"/>
    </row>
    <row r="220" spans="4:4" x14ac:dyDescent="0.25">
      <c r="D220" s="31"/>
    </row>
    <row r="221" spans="4:4" x14ac:dyDescent="0.25">
      <c r="D221" s="31"/>
    </row>
    <row r="222" spans="4:4" x14ac:dyDescent="0.25">
      <c r="D222" s="31"/>
    </row>
    <row r="223" spans="4:4" x14ac:dyDescent="0.25">
      <c r="D223" s="31"/>
    </row>
    <row r="224" spans="4:4" x14ac:dyDescent="0.25">
      <c r="D224" s="31"/>
    </row>
    <row r="225" spans="4:4" x14ac:dyDescent="0.25">
      <c r="D225" s="31"/>
    </row>
    <row r="226" spans="4:4" x14ac:dyDescent="0.25">
      <c r="D226" s="31"/>
    </row>
    <row r="227" spans="4:4" x14ac:dyDescent="0.25">
      <c r="D227" s="31"/>
    </row>
    <row r="228" spans="4:4" x14ac:dyDescent="0.25">
      <c r="D228" s="31"/>
    </row>
    <row r="229" spans="4:4" x14ac:dyDescent="0.25">
      <c r="D229" s="31"/>
    </row>
    <row r="230" spans="4:4" x14ac:dyDescent="0.25">
      <c r="D230" s="31"/>
    </row>
    <row r="231" spans="4:4" x14ac:dyDescent="0.25">
      <c r="D231" s="31"/>
    </row>
    <row r="232" spans="4:4" x14ac:dyDescent="0.25">
      <c r="D232" s="31"/>
    </row>
    <row r="233" spans="4:4" x14ac:dyDescent="0.25">
      <c r="D233" s="31"/>
    </row>
    <row r="234" spans="4:4" x14ac:dyDescent="0.25">
      <c r="D234" s="31"/>
    </row>
    <row r="235" spans="4:4" x14ac:dyDescent="0.25">
      <c r="D235" s="31"/>
    </row>
    <row r="236" spans="4:4" x14ac:dyDescent="0.25">
      <c r="D236" s="31"/>
    </row>
    <row r="237" spans="4:4" x14ac:dyDescent="0.25">
      <c r="D237" s="31"/>
    </row>
    <row r="238" spans="4:4" x14ac:dyDescent="0.25">
      <c r="D238" s="31"/>
    </row>
    <row r="239" spans="4:4" x14ac:dyDescent="0.25">
      <c r="D239" s="31"/>
    </row>
    <row r="240" spans="4:4" x14ac:dyDescent="0.25">
      <c r="D240" s="31"/>
    </row>
    <row r="241" spans="4:4" x14ac:dyDescent="0.25">
      <c r="D241" s="31"/>
    </row>
    <row r="242" spans="4:4" x14ac:dyDescent="0.25">
      <c r="D242" s="31"/>
    </row>
    <row r="243" spans="4:4" x14ac:dyDescent="0.25">
      <c r="D243" s="31"/>
    </row>
    <row r="244" spans="4:4" x14ac:dyDescent="0.25">
      <c r="D244" s="31"/>
    </row>
    <row r="245" spans="4:4" x14ac:dyDescent="0.25">
      <c r="D245" s="31"/>
    </row>
    <row r="246" spans="4:4" x14ac:dyDescent="0.25">
      <c r="D246" s="31"/>
    </row>
    <row r="247" spans="4:4" x14ac:dyDescent="0.25">
      <c r="D247" s="31"/>
    </row>
    <row r="248" spans="4:4" x14ac:dyDescent="0.25">
      <c r="D248" s="31"/>
    </row>
    <row r="249" spans="4:4" x14ac:dyDescent="0.25">
      <c r="D249" s="31"/>
    </row>
    <row r="250" spans="4:4" x14ac:dyDescent="0.25">
      <c r="D250" s="31"/>
    </row>
    <row r="251" spans="4:4" x14ac:dyDescent="0.25">
      <c r="D251" s="31"/>
    </row>
    <row r="252" spans="4:4" x14ac:dyDescent="0.25">
      <c r="D252" s="31"/>
    </row>
    <row r="253" spans="4:4" x14ac:dyDescent="0.25">
      <c r="D253" s="31"/>
    </row>
    <row r="254" spans="4:4" x14ac:dyDescent="0.25">
      <c r="D254" s="31"/>
    </row>
    <row r="255" spans="4:4" x14ac:dyDescent="0.25">
      <c r="D255" s="31"/>
    </row>
    <row r="256" spans="4:4" x14ac:dyDescent="0.25">
      <c r="D256" s="31"/>
    </row>
    <row r="257" spans="4:4" x14ac:dyDescent="0.25">
      <c r="D257" s="31"/>
    </row>
    <row r="258" spans="4:4" x14ac:dyDescent="0.25">
      <c r="D258" s="31"/>
    </row>
    <row r="259" spans="4:4" x14ac:dyDescent="0.25">
      <c r="D259" s="31"/>
    </row>
    <row r="260" spans="4:4" x14ac:dyDescent="0.25">
      <c r="D260" s="31"/>
    </row>
    <row r="261" spans="4:4" x14ac:dyDescent="0.25">
      <c r="D261" s="31"/>
    </row>
    <row r="262" spans="4:4" x14ac:dyDescent="0.25">
      <c r="D262" s="31"/>
    </row>
    <row r="263" spans="4:4" x14ac:dyDescent="0.25">
      <c r="D263" s="31"/>
    </row>
    <row r="264" spans="4:4" x14ac:dyDescent="0.25">
      <c r="D264" s="31"/>
    </row>
    <row r="265" spans="4:4" x14ac:dyDescent="0.25">
      <c r="D265" s="31"/>
    </row>
    <row r="266" spans="4:4" x14ac:dyDescent="0.25">
      <c r="D266" s="31"/>
    </row>
    <row r="267" spans="4:4" x14ac:dyDescent="0.25">
      <c r="D267" s="31"/>
    </row>
    <row r="268" spans="4:4" x14ac:dyDescent="0.25">
      <c r="D268" s="31"/>
    </row>
    <row r="269" spans="4:4" x14ac:dyDescent="0.25">
      <c r="D269" s="31"/>
    </row>
    <row r="270" spans="4:4" x14ac:dyDescent="0.25">
      <c r="D270" s="31"/>
    </row>
    <row r="271" spans="4:4" x14ac:dyDescent="0.25">
      <c r="D271" s="31"/>
    </row>
    <row r="272" spans="4:4" x14ac:dyDescent="0.25">
      <c r="D272" s="31"/>
    </row>
    <row r="273" spans="4:4" x14ac:dyDescent="0.25">
      <c r="D273" s="31"/>
    </row>
    <row r="274" spans="4:4" x14ac:dyDescent="0.25">
      <c r="D274" s="31"/>
    </row>
    <row r="275" spans="4:4" x14ac:dyDescent="0.25">
      <c r="D275" s="31"/>
    </row>
    <row r="276" spans="4:4" x14ac:dyDescent="0.25">
      <c r="D276" s="31"/>
    </row>
    <row r="277" spans="4:4" x14ac:dyDescent="0.25">
      <c r="D277" s="31"/>
    </row>
    <row r="278" spans="4:4" x14ac:dyDescent="0.25">
      <c r="D278" s="31"/>
    </row>
    <row r="279" spans="4:4" x14ac:dyDescent="0.25">
      <c r="D279" s="31"/>
    </row>
    <row r="280" spans="4:4" x14ac:dyDescent="0.25">
      <c r="D280" s="31"/>
    </row>
    <row r="281" spans="4:4" x14ac:dyDescent="0.25">
      <c r="D281" s="31"/>
    </row>
    <row r="282" spans="4:4" x14ac:dyDescent="0.25">
      <c r="D282" s="31"/>
    </row>
    <row r="283" spans="4:4" x14ac:dyDescent="0.25">
      <c r="D283" s="31"/>
    </row>
    <row r="284" spans="4:4" x14ac:dyDescent="0.25">
      <c r="D284" s="31"/>
    </row>
    <row r="285" spans="4:4" x14ac:dyDescent="0.25">
      <c r="D285" s="31"/>
    </row>
    <row r="286" spans="4:4" x14ac:dyDescent="0.25">
      <c r="D286" s="31"/>
    </row>
    <row r="287" spans="4:4" x14ac:dyDescent="0.25">
      <c r="D287" s="31"/>
    </row>
    <row r="288" spans="4:4" x14ac:dyDescent="0.25">
      <c r="D288" s="31"/>
    </row>
    <row r="289" spans="4:4" x14ac:dyDescent="0.25">
      <c r="D289" s="31"/>
    </row>
    <row r="290" spans="4:4" x14ac:dyDescent="0.25">
      <c r="D290" s="31"/>
    </row>
    <row r="291" spans="4:4" x14ac:dyDescent="0.25">
      <c r="D291" s="31"/>
    </row>
    <row r="292" spans="4:4" x14ac:dyDescent="0.25">
      <c r="D292" s="31"/>
    </row>
    <row r="293" spans="4:4" x14ac:dyDescent="0.25">
      <c r="D293" s="31"/>
    </row>
    <row r="294" spans="4:4" x14ac:dyDescent="0.25">
      <c r="D294" s="31"/>
    </row>
    <row r="295" spans="4:4" x14ac:dyDescent="0.25">
      <c r="D295" s="31"/>
    </row>
    <row r="296" spans="4:4" x14ac:dyDescent="0.25">
      <c r="D296" s="31"/>
    </row>
    <row r="297" spans="4:4" x14ac:dyDescent="0.25">
      <c r="D297" s="31"/>
    </row>
    <row r="298" spans="4:4" x14ac:dyDescent="0.25">
      <c r="D298" s="31"/>
    </row>
    <row r="299" spans="4:4" x14ac:dyDescent="0.25">
      <c r="D299" s="31"/>
    </row>
    <row r="300" spans="4:4" x14ac:dyDescent="0.25">
      <c r="D300" s="31"/>
    </row>
    <row r="301" spans="4:4" x14ac:dyDescent="0.25">
      <c r="D301" s="31"/>
    </row>
    <row r="302" spans="4:4" x14ac:dyDescent="0.25">
      <c r="D302" s="31"/>
    </row>
    <row r="303" spans="4:4" x14ac:dyDescent="0.25">
      <c r="D303" s="31"/>
    </row>
    <row r="304" spans="4:4" x14ac:dyDescent="0.25">
      <c r="D304" s="31"/>
    </row>
    <row r="305" spans="4:4" x14ac:dyDescent="0.25">
      <c r="D305" s="31"/>
    </row>
    <row r="306" spans="4:4" x14ac:dyDescent="0.25">
      <c r="D306" s="31"/>
    </row>
    <row r="307" spans="4:4" x14ac:dyDescent="0.25">
      <c r="D307" s="31"/>
    </row>
    <row r="308" spans="4:4" x14ac:dyDescent="0.25">
      <c r="D308" s="31"/>
    </row>
    <row r="309" spans="4:4" x14ac:dyDescent="0.25">
      <c r="D309" s="31"/>
    </row>
    <row r="310" spans="4:4" x14ac:dyDescent="0.25">
      <c r="D310" s="31"/>
    </row>
    <row r="311" spans="4:4" x14ac:dyDescent="0.25">
      <c r="D311" s="31"/>
    </row>
    <row r="312" spans="4:4" x14ac:dyDescent="0.25">
      <c r="D312" s="31"/>
    </row>
    <row r="313" spans="4:4" x14ac:dyDescent="0.25">
      <c r="D313" s="31"/>
    </row>
    <row r="314" spans="4:4" x14ac:dyDescent="0.25">
      <c r="D314" s="31"/>
    </row>
    <row r="315" spans="4:4" x14ac:dyDescent="0.25">
      <c r="D315" s="31"/>
    </row>
    <row r="316" spans="4:4" x14ac:dyDescent="0.25">
      <c r="D316" s="31"/>
    </row>
    <row r="317" spans="4:4" x14ac:dyDescent="0.25">
      <c r="D317" s="31"/>
    </row>
    <row r="318" spans="4:4" x14ac:dyDescent="0.25">
      <c r="D318" s="31"/>
    </row>
    <row r="319" spans="4:4" x14ac:dyDescent="0.25">
      <c r="D319" s="31"/>
    </row>
    <row r="320" spans="4:4" x14ac:dyDescent="0.25">
      <c r="D320" s="31"/>
    </row>
    <row r="321" spans="4:4" x14ac:dyDescent="0.25">
      <c r="D321" s="31"/>
    </row>
    <row r="322" spans="4:4" x14ac:dyDescent="0.25">
      <c r="D322" s="31"/>
    </row>
    <row r="323" spans="4:4" x14ac:dyDescent="0.25">
      <c r="D323" s="31"/>
    </row>
    <row r="324" spans="4:4" x14ac:dyDescent="0.25">
      <c r="D324" s="31"/>
    </row>
    <row r="325" spans="4:4" x14ac:dyDescent="0.25">
      <c r="D325" s="31"/>
    </row>
    <row r="326" spans="4:4" x14ac:dyDescent="0.25">
      <c r="D326" s="31"/>
    </row>
    <row r="327" spans="4:4" x14ac:dyDescent="0.25">
      <c r="D327" s="31"/>
    </row>
    <row r="328" spans="4:4" x14ac:dyDescent="0.25">
      <c r="D328" s="31"/>
    </row>
    <row r="329" spans="4:4" x14ac:dyDescent="0.25">
      <c r="D329" s="31"/>
    </row>
    <row r="330" spans="4:4" x14ac:dyDescent="0.25">
      <c r="D330" s="31"/>
    </row>
    <row r="331" spans="4:4" x14ac:dyDescent="0.25">
      <c r="D331" s="31"/>
    </row>
    <row r="332" spans="4:4" x14ac:dyDescent="0.25">
      <c r="D332" s="31"/>
    </row>
    <row r="333" spans="4:4" x14ac:dyDescent="0.25">
      <c r="D333" s="31"/>
    </row>
    <row r="334" spans="4:4" x14ac:dyDescent="0.25">
      <c r="D334" s="31"/>
    </row>
    <row r="335" spans="4:4" x14ac:dyDescent="0.25">
      <c r="D335" s="31"/>
    </row>
    <row r="336" spans="4:4" x14ac:dyDescent="0.25">
      <c r="D336" s="31"/>
    </row>
    <row r="337" spans="4:4" x14ac:dyDescent="0.25">
      <c r="D337" s="31"/>
    </row>
    <row r="338" spans="4:4" x14ac:dyDescent="0.25">
      <c r="D338" s="31"/>
    </row>
    <row r="339" spans="4:4" x14ac:dyDescent="0.25">
      <c r="D339" s="31"/>
    </row>
    <row r="340" spans="4:4" x14ac:dyDescent="0.25">
      <c r="D340" s="31"/>
    </row>
    <row r="341" spans="4:4" x14ac:dyDescent="0.25">
      <c r="D341" s="31"/>
    </row>
    <row r="342" spans="4:4" x14ac:dyDescent="0.25">
      <c r="D342" s="31"/>
    </row>
    <row r="343" spans="4:4" x14ac:dyDescent="0.25">
      <c r="D343" s="31"/>
    </row>
    <row r="344" spans="4:4" x14ac:dyDescent="0.25">
      <c r="D344" s="31"/>
    </row>
    <row r="345" spans="4:4" x14ac:dyDescent="0.25">
      <c r="D345" s="31"/>
    </row>
    <row r="346" spans="4:4" x14ac:dyDescent="0.25">
      <c r="D346" s="31"/>
    </row>
    <row r="347" spans="4:4" x14ac:dyDescent="0.25">
      <c r="D347" s="31"/>
    </row>
    <row r="348" spans="4:4" x14ac:dyDescent="0.25">
      <c r="D348" s="31"/>
    </row>
    <row r="349" spans="4:4" x14ac:dyDescent="0.25">
      <c r="D349" s="31"/>
    </row>
    <row r="350" spans="4:4" x14ac:dyDescent="0.25">
      <c r="D350" s="31"/>
    </row>
    <row r="351" spans="4:4" x14ac:dyDescent="0.25">
      <c r="D351" s="31"/>
    </row>
    <row r="352" spans="4:4" x14ac:dyDescent="0.25">
      <c r="D352" s="31"/>
    </row>
    <row r="353" spans="4:4" x14ac:dyDescent="0.25">
      <c r="D353" s="31"/>
    </row>
    <row r="354" spans="4:4" x14ac:dyDescent="0.25">
      <c r="D354" s="31"/>
    </row>
    <row r="355" spans="4:4" x14ac:dyDescent="0.25">
      <c r="D355" s="31"/>
    </row>
    <row r="356" spans="4:4" x14ac:dyDescent="0.25">
      <c r="D356" s="31"/>
    </row>
    <row r="357" spans="4:4" x14ac:dyDescent="0.25">
      <c r="D357" s="31"/>
    </row>
    <row r="358" spans="4:4" x14ac:dyDescent="0.25">
      <c r="D358" s="31"/>
    </row>
    <row r="359" spans="4:4" x14ac:dyDescent="0.25">
      <c r="D359" s="31"/>
    </row>
    <row r="360" spans="4:4" x14ac:dyDescent="0.25">
      <c r="D360" s="31"/>
    </row>
    <row r="361" spans="4:4" x14ac:dyDescent="0.25">
      <c r="D361" s="31"/>
    </row>
    <row r="362" spans="4:4" x14ac:dyDescent="0.25">
      <c r="D362" s="31"/>
    </row>
    <row r="363" spans="4:4" x14ac:dyDescent="0.25">
      <c r="D363" s="31"/>
    </row>
    <row r="364" spans="4:4" x14ac:dyDescent="0.25">
      <c r="D364" s="31"/>
    </row>
    <row r="365" spans="4:4" x14ac:dyDescent="0.25">
      <c r="D365" s="31"/>
    </row>
    <row r="366" spans="4:4" x14ac:dyDescent="0.25">
      <c r="D366" s="31"/>
    </row>
    <row r="367" spans="4:4" x14ac:dyDescent="0.25">
      <c r="D367" s="31"/>
    </row>
    <row r="368" spans="4:4" x14ac:dyDescent="0.25">
      <c r="D368" s="31"/>
    </row>
    <row r="369" spans="4:4" x14ac:dyDescent="0.25">
      <c r="D369" s="31"/>
    </row>
    <row r="370" spans="4:4" x14ac:dyDescent="0.25">
      <c r="D370" s="31"/>
    </row>
    <row r="371" spans="4:4" x14ac:dyDescent="0.25">
      <c r="D371" s="31"/>
    </row>
    <row r="372" spans="4:4" x14ac:dyDescent="0.25">
      <c r="D372" s="31"/>
    </row>
    <row r="373" spans="4:4" x14ac:dyDescent="0.25">
      <c r="D373" s="31"/>
    </row>
    <row r="374" spans="4:4" x14ac:dyDescent="0.25">
      <c r="D374" s="31"/>
    </row>
    <row r="375" spans="4:4" x14ac:dyDescent="0.25">
      <c r="D375" s="31"/>
    </row>
    <row r="376" spans="4:4" x14ac:dyDescent="0.25">
      <c r="D376" s="31"/>
    </row>
    <row r="377" spans="4:4" x14ac:dyDescent="0.25">
      <c r="D377" s="31"/>
    </row>
    <row r="378" spans="4:4" x14ac:dyDescent="0.25">
      <c r="D378" s="31"/>
    </row>
    <row r="379" spans="4:4" x14ac:dyDescent="0.25">
      <c r="D379" s="31"/>
    </row>
    <row r="380" spans="4:4" x14ac:dyDescent="0.25">
      <c r="D380" s="31"/>
    </row>
    <row r="381" spans="4:4" x14ac:dyDescent="0.25">
      <c r="D381" s="31"/>
    </row>
    <row r="382" spans="4:4" x14ac:dyDescent="0.25">
      <c r="D382" s="31"/>
    </row>
    <row r="383" spans="4:4" x14ac:dyDescent="0.25">
      <c r="D383" s="31"/>
    </row>
    <row r="384" spans="4:4" x14ac:dyDescent="0.25">
      <c r="D384" s="31"/>
    </row>
    <row r="385" spans="4:4" x14ac:dyDescent="0.25">
      <c r="D385" s="31"/>
    </row>
    <row r="386" spans="4:4" x14ac:dyDescent="0.25">
      <c r="D386" s="31"/>
    </row>
    <row r="387" spans="4:4" x14ac:dyDescent="0.25">
      <c r="D387" s="31"/>
    </row>
    <row r="388" spans="4:4" x14ac:dyDescent="0.25">
      <c r="D388" s="31"/>
    </row>
    <row r="389" spans="4:4" x14ac:dyDescent="0.25">
      <c r="D389" s="31"/>
    </row>
    <row r="390" spans="4:4" x14ac:dyDescent="0.25">
      <c r="D390" s="31"/>
    </row>
    <row r="391" spans="4:4" x14ac:dyDescent="0.25">
      <c r="D391" s="31"/>
    </row>
    <row r="392" spans="4:4" x14ac:dyDescent="0.25">
      <c r="D392" s="31"/>
    </row>
    <row r="393" spans="4:4" x14ac:dyDescent="0.25">
      <c r="D393" s="31"/>
    </row>
    <row r="394" spans="4:4" x14ac:dyDescent="0.25">
      <c r="D394" s="31"/>
    </row>
  </sheetData>
  <mergeCells count="31">
    <mergeCell ref="T1:U1"/>
    <mergeCell ref="P50:Q50"/>
    <mergeCell ref="N50:O50"/>
    <mergeCell ref="P49:Q49"/>
    <mergeCell ref="N49:O49"/>
    <mergeCell ref="R48:S48"/>
    <mergeCell ref="R49:S49"/>
    <mergeCell ref="R50:S50"/>
    <mergeCell ref="N48:O48"/>
    <mergeCell ref="P48:Q48"/>
    <mergeCell ref="A1:D1"/>
    <mergeCell ref="E1:R1"/>
    <mergeCell ref="S1:S2"/>
    <mergeCell ref="R51:S51"/>
    <mergeCell ref="N51:O51"/>
    <mergeCell ref="P51:Q51"/>
    <mergeCell ref="P56:Q56"/>
    <mergeCell ref="N56:O56"/>
    <mergeCell ref="P55:Q55"/>
    <mergeCell ref="N55:O55"/>
    <mergeCell ref="R52:S52"/>
    <mergeCell ref="R53:S53"/>
    <mergeCell ref="R54:S54"/>
    <mergeCell ref="R55:S55"/>
    <mergeCell ref="R56:S56"/>
    <mergeCell ref="P54:Q54"/>
    <mergeCell ref="N54:O54"/>
    <mergeCell ref="P53:Q53"/>
    <mergeCell ref="N53:O53"/>
    <mergeCell ref="P52:Q52"/>
    <mergeCell ref="N52:O52"/>
  </mergeCells>
  <pageMargins left="0.7" right="0.7" top="0.75" bottom="0.75" header="0.3" footer="0.3"/>
  <pageSetup orientation="portrait" horizontalDpi="203" verticalDpi="203" r:id="rId1"/>
  <ignoredErrors>
    <ignoredError sqref="D3:D21 D22:D45 D49:D52 D53:D56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57"/>
  <sheetViews>
    <sheetView topLeftCell="A22" workbookViewId="0">
      <selection activeCell="D34" sqref="D34:D38"/>
    </sheetView>
  </sheetViews>
  <sheetFormatPr defaultColWidth="11.42578125" defaultRowHeight="15" x14ac:dyDescent="0.25"/>
  <cols>
    <col min="1" max="1" width="19.42578125" customWidth="1"/>
    <col min="2" max="2" width="9.7109375" customWidth="1"/>
    <col min="4" max="4" width="8" customWidth="1"/>
    <col min="5" max="5" width="4.28515625" customWidth="1"/>
    <col min="6" max="6" width="5.5703125" customWidth="1"/>
    <col min="7" max="7" width="4.28515625" customWidth="1"/>
    <col min="8" max="8" width="5.28515625" customWidth="1"/>
    <col min="9" max="9" width="4.42578125" customWidth="1"/>
    <col min="10" max="10" width="5.140625" customWidth="1"/>
    <col min="11" max="11" width="4.7109375" customWidth="1"/>
    <col min="12" max="12" width="5.28515625" customWidth="1"/>
    <col min="13" max="13" width="5" customWidth="1"/>
    <col min="14" max="14" width="5.85546875" customWidth="1"/>
    <col min="15" max="15" width="5.28515625" customWidth="1"/>
    <col min="16" max="16" width="5.5703125" customWidth="1"/>
    <col min="17" max="17" width="4.5703125" customWidth="1"/>
    <col min="18" max="18" width="5.5703125" customWidth="1"/>
    <col min="19" max="19" width="11" customWidth="1"/>
  </cols>
  <sheetData>
    <row r="1" spans="1:19" ht="18.75" x14ac:dyDescent="0.25">
      <c r="A1" s="63" t="s">
        <v>279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226</v>
      </c>
    </row>
    <row r="2" spans="1:19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</row>
    <row r="3" spans="1:19" x14ac:dyDescent="0.25">
      <c r="A3" s="1" t="s">
        <v>60</v>
      </c>
      <c r="B3" s="2">
        <v>707</v>
      </c>
      <c r="C3" s="2">
        <v>9205</v>
      </c>
      <c r="D3" s="34">
        <f>SUM(E3:R3)</f>
        <v>40</v>
      </c>
      <c r="E3" s="2">
        <v>2</v>
      </c>
      <c r="F3" s="2">
        <v>2</v>
      </c>
      <c r="G3" s="2">
        <v>3</v>
      </c>
      <c r="H3" s="2">
        <v>3</v>
      </c>
      <c r="I3" s="2">
        <v>4</v>
      </c>
      <c r="J3" s="2">
        <v>4</v>
      </c>
      <c r="K3" s="2">
        <v>3</v>
      </c>
      <c r="L3" s="2">
        <v>3</v>
      </c>
      <c r="M3" s="2">
        <v>3</v>
      </c>
      <c r="N3" s="2">
        <v>2</v>
      </c>
      <c r="O3" s="2">
        <v>2</v>
      </c>
      <c r="P3" s="2">
        <v>3</v>
      </c>
      <c r="Q3" s="2">
        <v>3</v>
      </c>
      <c r="R3" s="2">
        <v>3</v>
      </c>
      <c r="S3" s="3">
        <v>46209</v>
      </c>
    </row>
    <row r="4" spans="1:19" x14ac:dyDescent="0.25">
      <c r="A4" s="1" t="s">
        <v>60</v>
      </c>
      <c r="B4" s="2">
        <v>708</v>
      </c>
      <c r="C4" s="2">
        <v>9225</v>
      </c>
      <c r="D4" s="34">
        <f t="shared" ref="D4:D48" si="0">SUM(E4:R4)</f>
        <v>40</v>
      </c>
      <c r="E4" s="2">
        <v>2</v>
      </c>
      <c r="F4" s="2">
        <v>2</v>
      </c>
      <c r="G4" s="2">
        <v>3</v>
      </c>
      <c r="H4" s="2">
        <v>3</v>
      </c>
      <c r="I4" s="2">
        <v>4</v>
      </c>
      <c r="J4" s="2">
        <v>4</v>
      </c>
      <c r="K4" s="2">
        <v>3</v>
      </c>
      <c r="L4" s="2">
        <v>3</v>
      </c>
      <c r="M4" s="2">
        <v>3</v>
      </c>
      <c r="N4" s="2">
        <v>2</v>
      </c>
      <c r="O4" s="2">
        <v>2</v>
      </c>
      <c r="P4" s="2">
        <v>3</v>
      </c>
      <c r="Q4" s="2">
        <v>3</v>
      </c>
      <c r="R4" s="2">
        <v>3</v>
      </c>
      <c r="S4" s="3">
        <v>46209</v>
      </c>
    </row>
    <row r="5" spans="1:19" x14ac:dyDescent="0.25">
      <c r="A5" s="1" t="s">
        <v>60</v>
      </c>
      <c r="B5" s="2">
        <v>709</v>
      </c>
      <c r="C5" s="2">
        <v>2601</v>
      </c>
      <c r="D5" s="34">
        <f t="shared" si="0"/>
        <v>40</v>
      </c>
      <c r="E5" s="2">
        <v>2</v>
      </c>
      <c r="F5" s="2">
        <v>2</v>
      </c>
      <c r="G5" s="2">
        <v>3</v>
      </c>
      <c r="H5" s="2">
        <v>3</v>
      </c>
      <c r="I5" s="2">
        <v>4</v>
      </c>
      <c r="J5" s="2">
        <v>4</v>
      </c>
      <c r="K5" s="2">
        <v>3</v>
      </c>
      <c r="L5" s="2">
        <v>3</v>
      </c>
      <c r="M5" s="2">
        <v>3</v>
      </c>
      <c r="N5" s="2">
        <v>2</v>
      </c>
      <c r="O5" s="2">
        <v>2</v>
      </c>
      <c r="P5" s="2">
        <v>3</v>
      </c>
      <c r="Q5" s="2">
        <v>3</v>
      </c>
      <c r="R5" s="2">
        <v>3</v>
      </c>
      <c r="S5" s="3">
        <v>46209</v>
      </c>
    </row>
    <row r="6" spans="1:19" x14ac:dyDescent="0.25">
      <c r="A6" s="1" t="s">
        <v>252</v>
      </c>
      <c r="B6" s="2">
        <v>710</v>
      </c>
      <c r="C6" s="2">
        <v>9201</v>
      </c>
      <c r="D6" s="34">
        <f t="shared" si="0"/>
        <v>24</v>
      </c>
      <c r="E6" s="2">
        <v>2</v>
      </c>
      <c r="F6" s="2">
        <v>2</v>
      </c>
      <c r="G6" s="2">
        <v>2</v>
      </c>
      <c r="H6" s="2">
        <v>2</v>
      </c>
      <c r="I6" s="2">
        <v>2</v>
      </c>
      <c r="J6" s="2">
        <v>2</v>
      </c>
      <c r="K6" s="2">
        <v>2</v>
      </c>
      <c r="L6" s="2">
        <v>1</v>
      </c>
      <c r="M6" s="2">
        <v>2</v>
      </c>
      <c r="N6" s="2">
        <v>1</v>
      </c>
      <c r="O6" s="2">
        <v>2</v>
      </c>
      <c r="P6" s="2">
        <v>1</v>
      </c>
      <c r="Q6" s="2">
        <v>2</v>
      </c>
      <c r="R6" s="2">
        <v>1</v>
      </c>
      <c r="S6" s="3">
        <v>46210</v>
      </c>
    </row>
    <row r="7" spans="1:19" x14ac:dyDescent="0.25">
      <c r="A7" s="1" t="s">
        <v>252</v>
      </c>
      <c r="B7" s="2">
        <v>711</v>
      </c>
      <c r="C7" s="2">
        <v>9201</v>
      </c>
      <c r="D7" s="34">
        <f t="shared" si="0"/>
        <v>24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s="2">
        <v>1</v>
      </c>
      <c r="M7" s="2">
        <v>2</v>
      </c>
      <c r="N7" s="2">
        <v>1</v>
      </c>
      <c r="O7" s="2">
        <v>2</v>
      </c>
      <c r="P7" s="2">
        <v>1</v>
      </c>
      <c r="Q7" s="2">
        <v>2</v>
      </c>
      <c r="R7" s="2">
        <v>1</v>
      </c>
      <c r="S7" s="3">
        <v>46210</v>
      </c>
    </row>
    <row r="8" spans="1:19" x14ac:dyDescent="0.25">
      <c r="A8" s="1" t="s">
        <v>252</v>
      </c>
      <c r="B8" s="2">
        <v>712</v>
      </c>
      <c r="C8" s="2" t="s">
        <v>30</v>
      </c>
      <c r="D8" s="34">
        <f t="shared" si="0"/>
        <v>24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2</v>
      </c>
      <c r="K8" s="2">
        <v>2</v>
      </c>
      <c r="L8" s="2">
        <v>1</v>
      </c>
      <c r="M8" s="2">
        <v>2</v>
      </c>
      <c r="N8" s="2">
        <v>1</v>
      </c>
      <c r="O8" s="2">
        <v>2</v>
      </c>
      <c r="P8" s="2">
        <v>1</v>
      </c>
      <c r="Q8" s="2">
        <v>2</v>
      </c>
      <c r="R8" s="2">
        <v>1</v>
      </c>
      <c r="S8" s="3">
        <v>46210</v>
      </c>
    </row>
    <row r="9" spans="1:19" x14ac:dyDescent="0.25">
      <c r="A9" s="1" t="s">
        <v>252</v>
      </c>
      <c r="B9" s="2">
        <v>713</v>
      </c>
      <c r="C9" s="2">
        <v>9213</v>
      </c>
      <c r="D9" s="34">
        <f t="shared" si="0"/>
        <v>24</v>
      </c>
      <c r="E9" s="2">
        <v>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2</v>
      </c>
      <c r="L9" s="2">
        <v>1</v>
      </c>
      <c r="M9" s="2">
        <v>2</v>
      </c>
      <c r="N9" s="2">
        <v>1</v>
      </c>
      <c r="O9" s="2">
        <v>2</v>
      </c>
      <c r="P9" s="2">
        <v>1</v>
      </c>
      <c r="Q9" s="2">
        <v>2</v>
      </c>
      <c r="R9" s="2">
        <v>1</v>
      </c>
      <c r="S9" s="3">
        <v>46210</v>
      </c>
    </row>
    <row r="10" spans="1:19" x14ac:dyDescent="0.25">
      <c r="A10" s="1" t="s">
        <v>252</v>
      </c>
      <c r="B10" s="2">
        <v>714</v>
      </c>
      <c r="C10" s="2">
        <v>9213</v>
      </c>
      <c r="D10" s="34">
        <f t="shared" si="0"/>
        <v>24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1</v>
      </c>
      <c r="M10" s="2">
        <v>2</v>
      </c>
      <c r="N10" s="2">
        <v>1</v>
      </c>
      <c r="O10" s="2">
        <v>2</v>
      </c>
      <c r="P10" s="2">
        <v>1</v>
      </c>
      <c r="Q10" s="2">
        <v>2</v>
      </c>
      <c r="R10" s="2">
        <v>1</v>
      </c>
      <c r="S10" s="3">
        <v>46210</v>
      </c>
    </row>
    <row r="11" spans="1:19" x14ac:dyDescent="0.25">
      <c r="A11" s="1" t="s">
        <v>252</v>
      </c>
      <c r="B11" s="2">
        <v>715</v>
      </c>
      <c r="C11" s="2">
        <v>9245</v>
      </c>
      <c r="D11" s="34">
        <f t="shared" si="0"/>
        <v>24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1</v>
      </c>
      <c r="M11" s="2">
        <v>2</v>
      </c>
      <c r="N11" s="2">
        <v>1</v>
      </c>
      <c r="O11" s="2">
        <v>2</v>
      </c>
      <c r="P11" s="2">
        <v>1</v>
      </c>
      <c r="Q11" s="2">
        <v>2</v>
      </c>
      <c r="R11" s="2">
        <v>1</v>
      </c>
      <c r="S11" s="3">
        <v>46210</v>
      </c>
    </row>
    <row r="12" spans="1:19" x14ac:dyDescent="0.25">
      <c r="A12" s="1" t="s">
        <v>252</v>
      </c>
      <c r="B12" s="2">
        <v>716</v>
      </c>
      <c r="C12" s="2">
        <v>9245</v>
      </c>
      <c r="D12" s="34">
        <f t="shared" si="0"/>
        <v>24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1</v>
      </c>
      <c r="M12" s="2">
        <v>2</v>
      </c>
      <c r="N12" s="2">
        <v>1</v>
      </c>
      <c r="O12" s="2">
        <v>2</v>
      </c>
      <c r="P12" s="2">
        <v>1</v>
      </c>
      <c r="Q12" s="2">
        <v>2</v>
      </c>
      <c r="R12" s="2">
        <v>1</v>
      </c>
      <c r="S12" s="3">
        <v>46210</v>
      </c>
    </row>
    <row r="13" spans="1:19" x14ac:dyDescent="0.25">
      <c r="A13" s="1" t="s">
        <v>252</v>
      </c>
      <c r="B13" s="2">
        <v>717</v>
      </c>
      <c r="C13" s="2">
        <v>9272</v>
      </c>
      <c r="D13" s="34">
        <f t="shared" si="0"/>
        <v>24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2">
        <v>1</v>
      </c>
      <c r="M13" s="2">
        <v>2</v>
      </c>
      <c r="N13" s="2">
        <v>1</v>
      </c>
      <c r="O13" s="2">
        <v>2</v>
      </c>
      <c r="P13" s="2">
        <v>1</v>
      </c>
      <c r="Q13" s="2">
        <v>2</v>
      </c>
      <c r="R13" s="2">
        <v>1</v>
      </c>
      <c r="S13" s="3">
        <v>46210</v>
      </c>
    </row>
    <row r="14" spans="1:19" x14ac:dyDescent="0.25">
      <c r="A14" s="1" t="s">
        <v>252</v>
      </c>
      <c r="B14" s="2">
        <v>718</v>
      </c>
      <c r="C14" s="2">
        <v>9272</v>
      </c>
      <c r="D14" s="34">
        <f t="shared" si="0"/>
        <v>24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2</v>
      </c>
      <c r="L14" s="2">
        <v>1</v>
      </c>
      <c r="M14" s="2">
        <v>2</v>
      </c>
      <c r="N14" s="2">
        <v>1</v>
      </c>
      <c r="O14" s="2">
        <v>2</v>
      </c>
      <c r="P14" s="2">
        <v>1</v>
      </c>
      <c r="Q14" s="2">
        <v>2</v>
      </c>
      <c r="R14" s="2">
        <v>1</v>
      </c>
      <c r="S14" s="3">
        <v>46210</v>
      </c>
    </row>
    <row r="15" spans="1:19" x14ac:dyDescent="0.25">
      <c r="A15" s="1" t="s">
        <v>42</v>
      </c>
      <c r="B15" s="2">
        <v>719</v>
      </c>
      <c r="C15" s="2">
        <v>9208</v>
      </c>
      <c r="D15" s="34">
        <f t="shared" si="0"/>
        <v>28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2</v>
      </c>
      <c r="L15" s="2">
        <v>2</v>
      </c>
      <c r="M15" s="2">
        <v>2</v>
      </c>
      <c r="N15" s="2">
        <v>2</v>
      </c>
      <c r="O15" s="2">
        <v>2</v>
      </c>
      <c r="P15" s="2">
        <v>2</v>
      </c>
      <c r="Q15" s="2">
        <v>2</v>
      </c>
      <c r="R15" s="2">
        <v>2</v>
      </c>
      <c r="S15" s="3">
        <v>46210</v>
      </c>
    </row>
    <row r="16" spans="1:19" x14ac:dyDescent="0.25">
      <c r="A16" s="1" t="s">
        <v>42</v>
      </c>
      <c r="B16" s="2">
        <v>720</v>
      </c>
      <c r="C16" s="2">
        <v>9208</v>
      </c>
      <c r="D16" s="34">
        <f t="shared" si="0"/>
        <v>28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  <c r="K16" s="2">
        <v>2</v>
      </c>
      <c r="L16" s="2">
        <v>2</v>
      </c>
      <c r="M16" s="2">
        <v>2</v>
      </c>
      <c r="N16" s="2">
        <v>2</v>
      </c>
      <c r="O16" s="2">
        <v>2</v>
      </c>
      <c r="P16" s="2">
        <v>2</v>
      </c>
      <c r="Q16" s="2">
        <v>2</v>
      </c>
      <c r="R16" s="2">
        <v>2</v>
      </c>
      <c r="S16" s="3">
        <v>46210</v>
      </c>
    </row>
    <row r="17" spans="1:19" x14ac:dyDescent="0.25">
      <c r="A17" s="1" t="s">
        <v>42</v>
      </c>
      <c r="B17" s="2">
        <v>721</v>
      </c>
      <c r="C17" s="2">
        <v>9201</v>
      </c>
      <c r="D17" s="34">
        <f t="shared" si="0"/>
        <v>11</v>
      </c>
      <c r="E17" s="2"/>
      <c r="F17" s="2"/>
      <c r="G17" s="2"/>
      <c r="H17" s="2">
        <v>1</v>
      </c>
      <c r="I17" s="2">
        <v>1</v>
      </c>
      <c r="J17" s="2"/>
      <c r="K17" s="2">
        <v>2</v>
      </c>
      <c r="L17" s="2">
        <v>1</v>
      </c>
      <c r="M17" s="2">
        <v>2</v>
      </c>
      <c r="N17" s="2"/>
      <c r="O17" s="2">
        <v>2</v>
      </c>
      <c r="P17" s="2">
        <v>2</v>
      </c>
      <c r="Q17" s="2"/>
      <c r="R17" s="2"/>
      <c r="S17" s="3">
        <v>46210</v>
      </c>
    </row>
    <row r="18" spans="1:19" x14ac:dyDescent="0.25">
      <c r="A18" s="1" t="s">
        <v>42</v>
      </c>
      <c r="B18" s="2">
        <v>722</v>
      </c>
      <c r="C18" s="2">
        <v>9213</v>
      </c>
      <c r="D18" s="34">
        <f t="shared" si="0"/>
        <v>14</v>
      </c>
      <c r="E18" s="2">
        <v>1</v>
      </c>
      <c r="F18" s="2"/>
      <c r="G18" s="2">
        <v>2</v>
      </c>
      <c r="H18" s="2">
        <v>2</v>
      </c>
      <c r="I18" s="2"/>
      <c r="J18" s="2"/>
      <c r="K18" s="2">
        <v>1</v>
      </c>
      <c r="L18" s="2"/>
      <c r="M18" s="2">
        <v>1</v>
      </c>
      <c r="N18" s="2">
        <v>1</v>
      </c>
      <c r="O18" s="2">
        <v>2</v>
      </c>
      <c r="P18" s="2"/>
      <c r="Q18" s="2">
        <v>2</v>
      </c>
      <c r="R18" s="2">
        <v>2</v>
      </c>
      <c r="S18" s="3">
        <v>46210</v>
      </c>
    </row>
    <row r="19" spans="1:19" x14ac:dyDescent="0.25">
      <c r="A19" s="1" t="s">
        <v>42</v>
      </c>
      <c r="B19" s="2">
        <v>723</v>
      </c>
      <c r="C19" s="2">
        <v>9201</v>
      </c>
      <c r="D19" s="34">
        <f t="shared" si="0"/>
        <v>14</v>
      </c>
      <c r="E19" s="2"/>
      <c r="F19" s="2"/>
      <c r="G19" s="2"/>
      <c r="H19" s="2">
        <v>1</v>
      </c>
      <c r="I19" s="2"/>
      <c r="J19" s="2">
        <v>2</v>
      </c>
      <c r="K19" s="2">
        <v>2</v>
      </c>
      <c r="L19" s="2">
        <v>1</v>
      </c>
      <c r="M19" s="2">
        <v>2</v>
      </c>
      <c r="N19" s="2">
        <v>2</v>
      </c>
      <c r="O19" s="2">
        <v>1</v>
      </c>
      <c r="P19" s="2">
        <v>2</v>
      </c>
      <c r="Q19" s="2"/>
      <c r="R19" s="2">
        <v>1</v>
      </c>
      <c r="S19" s="3">
        <v>46210</v>
      </c>
    </row>
    <row r="20" spans="1:19" x14ac:dyDescent="0.25">
      <c r="A20" s="1" t="s">
        <v>42</v>
      </c>
      <c r="B20" s="2">
        <v>724</v>
      </c>
      <c r="C20" s="2">
        <v>9211</v>
      </c>
      <c r="D20" s="34">
        <f t="shared" si="0"/>
        <v>12</v>
      </c>
      <c r="E20" s="2">
        <v>2</v>
      </c>
      <c r="F20" s="2">
        <v>2</v>
      </c>
      <c r="G20" s="2">
        <v>2</v>
      </c>
      <c r="H20" s="2">
        <v>1</v>
      </c>
      <c r="I20" s="2">
        <v>1</v>
      </c>
      <c r="J20" s="2"/>
      <c r="K20" s="2">
        <v>2</v>
      </c>
      <c r="L20" s="2">
        <v>1</v>
      </c>
      <c r="M20" s="2"/>
      <c r="N20" s="2"/>
      <c r="O20" s="2"/>
      <c r="P20" s="2">
        <v>1</v>
      </c>
      <c r="Q20" s="2"/>
      <c r="R20" s="2"/>
      <c r="S20" s="3">
        <v>46210</v>
      </c>
    </row>
    <row r="21" spans="1:19" x14ac:dyDescent="0.25">
      <c r="A21" s="1" t="s">
        <v>42</v>
      </c>
      <c r="B21" s="2">
        <v>725</v>
      </c>
      <c r="C21" s="2">
        <v>9201</v>
      </c>
      <c r="D21" s="34">
        <f t="shared" si="0"/>
        <v>10</v>
      </c>
      <c r="E21" s="2">
        <v>2</v>
      </c>
      <c r="F21" s="2"/>
      <c r="G21" s="2">
        <v>2</v>
      </c>
      <c r="H21" s="2">
        <v>1</v>
      </c>
      <c r="I21" s="2">
        <v>1</v>
      </c>
      <c r="J21" s="2"/>
      <c r="K21" s="2">
        <v>2</v>
      </c>
      <c r="L21" s="2">
        <v>1</v>
      </c>
      <c r="M21" s="2"/>
      <c r="N21" s="2"/>
      <c r="O21" s="2"/>
      <c r="P21" s="2">
        <v>1</v>
      </c>
      <c r="Q21" s="2"/>
      <c r="R21" s="2"/>
      <c r="S21" s="3">
        <v>46210</v>
      </c>
    </row>
    <row r="22" spans="1:19" x14ac:dyDescent="0.25">
      <c r="A22" s="1" t="s">
        <v>42</v>
      </c>
      <c r="B22" s="2">
        <v>726</v>
      </c>
      <c r="C22" s="2">
        <v>9225</v>
      </c>
      <c r="D22" s="34">
        <f t="shared" si="0"/>
        <v>28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2</v>
      </c>
      <c r="M22" s="2">
        <v>2</v>
      </c>
      <c r="N22" s="2">
        <v>2</v>
      </c>
      <c r="O22" s="2">
        <v>2</v>
      </c>
      <c r="P22" s="2">
        <v>2</v>
      </c>
      <c r="Q22" s="2">
        <v>2</v>
      </c>
      <c r="R22" s="2">
        <v>2</v>
      </c>
      <c r="S22" s="3">
        <v>46210</v>
      </c>
    </row>
    <row r="23" spans="1:19" x14ac:dyDescent="0.25">
      <c r="A23" s="1" t="s">
        <v>278</v>
      </c>
      <c r="B23" s="2">
        <v>731</v>
      </c>
      <c r="C23" s="2">
        <v>9205</v>
      </c>
      <c r="D23" s="34">
        <f t="shared" si="0"/>
        <v>60</v>
      </c>
      <c r="E23" s="2">
        <v>7</v>
      </c>
      <c r="F23" s="1"/>
      <c r="G23" s="2">
        <v>7</v>
      </c>
      <c r="H23" s="1"/>
      <c r="I23" s="2">
        <v>13</v>
      </c>
      <c r="J23" s="1"/>
      <c r="K23" s="2">
        <v>7</v>
      </c>
      <c r="L23" s="1"/>
      <c r="M23" s="2">
        <v>7</v>
      </c>
      <c r="N23" s="1"/>
      <c r="O23" s="2">
        <v>9</v>
      </c>
      <c r="P23" s="1"/>
      <c r="Q23" s="2">
        <v>10</v>
      </c>
      <c r="R23" s="2"/>
      <c r="S23" s="3">
        <v>46210</v>
      </c>
    </row>
    <row r="24" spans="1:19" x14ac:dyDescent="0.25">
      <c r="A24" s="1" t="s">
        <v>278</v>
      </c>
      <c r="B24" s="2">
        <v>732</v>
      </c>
      <c r="C24" s="2">
        <v>9205</v>
      </c>
      <c r="D24" s="34">
        <f t="shared" si="0"/>
        <v>60</v>
      </c>
      <c r="E24" s="2">
        <v>7</v>
      </c>
      <c r="F24" s="1"/>
      <c r="G24" s="2">
        <v>7</v>
      </c>
      <c r="H24" s="1"/>
      <c r="I24" s="2">
        <v>12</v>
      </c>
      <c r="J24" s="1"/>
      <c r="K24" s="2">
        <v>7</v>
      </c>
      <c r="L24" s="1"/>
      <c r="M24" s="2">
        <v>8</v>
      </c>
      <c r="N24" s="1"/>
      <c r="O24" s="2">
        <v>9</v>
      </c>
      <c r="P24" s="1"/>
      <c r="Q24" s="2">
        <v>10</v>
      </c>
      <c r="R24" s="2"/>
      <c r="S24" s="3">
        <v>46210</v>
      </c>
    </row>
    <row r="25" spans="1:19" x14ac:dyDescent="0.25">
      <c r="A25" s="1" t="s">
        <v>278</v>
      </c>
      <c r="B25" s="2">
        <v>733</v>
      </c>
      <c r="C25" s="2">
        <v>9205</v>
      </c>
      <c r="D25" s="34">
        <f t="shared" si="0"/>
        <v>60</v>
      </c>
      <c r="E25" s="2">
        <v>8</v>
      </c>
      <c r="F25" s="1"/>
      <c r="G25" s="2">
        <v>7</v>
      </c>
      <c r="H25" s="1"/>
      <c r="I25" s="2">
        <v>12</v>
      </c>
      <c r="J25" s="1"/>
      <c r="K25" s="2">
        <v>7</v>
      </c>
      <c r="L25" s="1"/>
      <c r="M25" s="2">
        <v>7</v>
      </c>
      <c r="N25" s="1"/>
      <c r="O25" s="2">
        <v>9</v>
      </c>
      <c r="P25" s="1"/>
      <c r="Q25" s="2">
        <v>10</v>
      </c>
      <c r="R25" s="2"/>
      <c r="S25" s="3">
        <v>46210</v>
      </c>
    </row>
    <row r="26" spans="1:19" x14ac:dyDescent="0.25">
      <c r="A26" s="1" t="s">
        <v>278</v>
      </c>
      <c r="B26" s="2">
        <v>734</v>
      </c>
      <c r="C26" s="2">
        <v>9240</v>
      </c>
      <c r="D26" s="34">
        <f t="shared" si="0"/>
        <v>50</v>
      </c>
      <c r="E26" s="2">
        <v>5</v>
      </c>
      <c r="F26" s="1"/>
      <c r="G26" s="2">
        <v>12</v>
      </c>
      <c r="H26" s="1"/>
      <c r="I26" s="2">
        <v>8</v>
      </c>
      <c r="J26" s="1"/>
      <c r="K26" s="2">
        <v>13</v>
      </c>
      <c r="L26" s="1"/>
      <c r="M26" s="2">
        <v>12</v>
      </c>
      <c r="N26" s="2"/>
      <c r="O26" s="2"/>
      <c r="P26" s="2"/>
      <c r="Q26" s="2"/>
      <c r="R26" s="2"/>
      <c r="S26" s="3">
        <v>46210</v>
      </c>
    </row>
    <row r="27" spans="1:19" x14ac:dyDescent="0.25">
      <c r="A27" s="1" t="s">
        <v>278</v>
      </c>
      <c r="B27" s="2">
        <v>735</v>
      </c>
      <c r="C27" s="2">
        <v>9240</v>
      </c>
      <c r="D27" s="34">
        <f t="shared" si="0"/>
        <v>50</v>
      </c>
      <c r="E27" s="2">
        <v>4</v>
      </c>
      <c r="F27" s="1"/>
      <c r="G27" s="2">
        <v>13</v>
      </c>
      <c r="H27" s="1"/>
      <c r="I27" s="2">
        <v>8</v>
      </c>
      <c r="J27" s="1"/>
      <c r="K27" s="2">
        <v>13</v>
      </c>
      <c r="L27" s="1"/>
      <c r="M27" s="2">
        <v>12</v>
      </c>
      <c r="N27" s="2"/>
      <c r="O27" s="2"/>
      <c r="P27" s="2"/>
      <c r="Q27" s="2"/>
      <c r="R27" s="2"/>
      <c r="S27" s="3">
        <v>46210</v>
      </c>
    </row>
    <row r="28" spans="1:19" x14ac:dyDescent="0.25">
      <c r="A28" s="1" t="s">
        <v>29</v>
      </c>
      <c r="B28" s="2">
        <v>736</v>
      </c>
      <c r="C28" s="2">
        <v>9262</v>
      </c>
      <c r="D28" s="34">
        <f t="shared" si="0"/>
        <v>36</v>
      </c>
      <c r="E28" s="2">
        <v>2</v>
      </c>
      <c r="F28" s="2">
        <v>2</v>
      </c>
      <c r="G28" s="2">
        <v>2</v>
      </c>
      <c r="H28" s="2">
        <v>2</v>
      </c>
      <c r="I28" s="2">
        <v>2</v>
      </c>
      <c r="J28" s="2">
        <v>2</v>
      </c>
      <c r="K28" s="2">
        <v>4</v>
      </c>
      <c r="L28" s="2">
        <v>2</v>
      </c>
      <c r="M28" s="2">
        <v>4</v>
      </c>
      <c r="N28" s="2">
        <v>2</v>
      </c>
      <c r="O28" s="2">
        <v>4</v>
      </c>
      <c r="P28" s="2">
        <v>2</v>
      </c>
      <c r="Q28" s="2">
        <v>4</v>
      </c>
      <c r="R28" s="2">
        <v>2</v>
      </c>
      <c r="S28" s="3">
        <v>46210</v>
      </c>
    </row>
    <row r="29" spans="1:19" x14ac:dyDescent="0.25">
      <c r="A29" s="1" t="s">
        <v>29</v>
      </c>
      <c r="B29" s="2">
        <v>737</v>
      </c>
      <c r="C29" s="2">
        <v>9248</v>
      </c>
      <c r="D29" s="34">
        <f t="shared" si="0"/>
        <v>36</v>
      </c>
      <c r="E29" s="2">
        <v>2</v>
      </c>
      <c r="F29" s="2">
        <v>2</v>
      </c>
      <c r="G29" s="2">
        <v>2</v>
      </c>
      <c r="H29" s="2">
        <v>2</v>
      </c>
      <c r="I29" s="2">
        <v>2</v>
      </c>
      <c r="J29" s="2">
        <v>2</v>
      </c>
      <c r="K29" s="2">
        <v>4</v>
      </c>
      <c r="L29" s="2">
        <v>2</v>
      </c>
      <c r="M29" s="2">
        <v>4</v>
      </c>
      <c r="N29" s="2">
        <v>2</v>
      </c>
      <c r="O29" s="2">
        <v>4</v>
      </c>
      <c r="P29" s="2">
        <v>2</v>
      </c>
      <c r="Q29" s="2">
        <v>4</v>
      </c>
      <c r="R29" s="2">
        <v>2</v>
      </c>
      <c r="S29" s="3">
        <v>46210</v>
      </c>
    </row>
    <row r="30" spans="1:19" x14ac:dyDescent="0.25">
      <c r="A30" s="1" t="s">
        <v>29</v>
      </c>
      <c r="B30" s="2">
        <v>738</v>
      </c>
      <c r="C30" s="2">
        <v>2601</v>
      </c>
      <c r="D30" s="34">
        <f t="shared" si="0"/>
        <v>36</v>
      </c>
      <c r="E30" s="2">
        <v>2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>
        <v>4</v>
      </c>
      <c r="L30" s="2">
        <v>2</v>
      </c>
      <c r="M30" s="2">
        <v>4</v>
      </c>
      <c r="N30" s="2">
        <v>2</v>
      </c>
      <c r="O30" s="2">
        <v>4</v>
      </c>
      <c r="P30" s="2">
        <v>2</v>
      </c>
      <c r="Q30" s="2">
        <v>4</v>
      </c>
      <c r="R30" s="2">
        <v>2</v>
      </c>
      <c r="S30" s="3">
        <v>46210</v>
      </c>
    </row>
    <row r="31" spans="1:19" x14ac:dyDescent="0.25">
      <c r="A31" s="1" t="s">
        <v>29</v>
      </c>
      <c r="B31" s="2">
        <v>739</v>
      </c>
      <c r="C31" s="2">
        <v>9271</v>
      </c>
      <c r="D31" s="34">
        <f t="shared" si="0"/>
        <v>36</v>
      </c>
      <c r="E31" s="2">
        <v>2</v>
      </c>
      <c r="F31" s="2">
        <v>2</v>
      </c>
      <c r="G31" s="2">
        <v>2</v>
      </c>
      <c r="H31" s="2">
        <v>2</v>
      </c>
      <c r="I31" s="2">
        <v>2</v>
      </c>
      <c r="J31" s="2">
        <v>2</v>
      </c>
      <c r="K31" s="2">
        <v>4</v>
      </c>
      <c r="L31" s="2">
        <v>2</v>
      </c>
      <c r="M31" s="2">
        <v>4</v>
      </c>
      <c r="N31" s="2">
        <v>2</v>
      </c>
      <c r="O31" s="2">
        <v>4</v>
      </c>
      <c r="P31" s="2">
        <v>2</v>
      </c>
      <c r="Q31" s="2">
        <v>4</v>
      </c>
      <c r="R31" s="2">
        <v>2</v>
      </c>
      <c r="S31" s="3">
        <v>46210</v>
      </c>
    </row>
    <row r="32" spans="1:19" x14ac:dyDescent="0.25">
      <c r="A32" s="1" t="s">
        <v>29</v>
      </c>
      <c r="B32" s="2">
        <v>740</v>
      </c>
      <c r="C32" s="2">
        <v>9276</v>
      </c>
      <c r="D32" s="34">
        <f t="shared" si="0"/>
        <v>36</v>
      </c>
      <c r="E32" s="2">
        <v>2</v>
      </c>
      <c r="F32" s="2">
        <v>2</v>
      </c>
      <c r="G32" s="2">
        <v>2</v>
      </c>
      <c r="H32" s="2">
        <v>2</v>
      </c>
      <c r="I32" s="2">
        <v>2</v>
      </c>
      <c r="J32" s="2">
        <v>2</v>
      </c>
      <c r="K32" s="2">
        <v>4</v>
      </c>
      <c r="L32" s="2">
        <v>2</v>
      </c>
      <c r="M32" s="2">
        <v>4</v>
      </c>
      <c r="N32" s="2">
        <v>2</v>
      </c>
      <c r="O32" s="2">
        <v>4</v>
      </c>
      <c r="P32" s="2">
        <v>2</v>
      </c>
      <c r="Q32" s="2">
        <v>4</v>
      </c>
      <c r="R32" s="2">
        <v>2</v>
      </c>
      <c r="S32" s="3">
        <v>46210</v>
      </c>
    </row>
    <row r="33" spans="1:19" x14ac:dyDescent="0.25">
      <c r="A33" s="1" t="s">
        <v>29</v>
      </c>
      <c r="B33" s="2">
        <v>741</v>
      </c>
      <c r="C33" s="2">
        <v>9278</v>
      </c>
      <c r="D33" s="34">
        <f t="shared" si="0"/>
        <v>36</v>
      </c>
      <c r="E33" s="2">
        <v>2</v>
      </c>
      <c r="F33" s="2">
        <v>2</v>
      </c>
      <c r="G33" s="2">
        <v>2</v>
      </c>
      <c r="H33" s="2">
        <v>2</v>
      </c>
      <c r="I33" s="2">
        <v>2</v>
      </c>
      <c r="J33" s="2">
        <v>2</v>
      </c>
      <c r="K33" s="2">
        <v>4</v>
      </c>
      <c r="L33" s="2">
        <v>2</v>
      </c>
      <c r="M33" s="2">
        <v>4</v>
      </c>
      <c r="N33" s="2">
        <v>2</v>
      </c>
      <c r="O33" s="2">
        <v>4</v>
      </c>
      <c r="P33" s="2">
        <v>2</v>
      </c>
      <c r="Q33" s="2">
        <v>4</v>
      </c>
      <c r="R33" s="2">
        <v>2</v>
      </c>
      <c r="S33" s="3">
        <v>46210</v>
      </c>
    </row>
    <row r="34" spans="1:19" x14ac:dyDescent="0.25">
      <c r="A34" s="1" t="s">
        <v>33</v>
      </c>
      <c r="B34" s="2">
        <v>742</v>
      </c>
      <c r="C34" s="2">
        <v>9243</v>
      </c>
      <c r="D34" s="34">
        <f t="shared" si="0"/>
        <v>60</v>
      </c>
      <c r="E34" s="2">
        <v>2</v>
      </c>
      <c r="F34" s="2">
        <v>2</v>
      </c>
      <c r="G34" s="2">
        <v>2</v>
      </c>
      <c r="H34" s="2">
        <v>2</v>
      </c>
      <c r="I34" s="2">
        <v>2</v>
      </c>
      <c r="J34" s="2">
        <v>2</v>
      </c>
      <c r="K34" s="2">
        <v>8</v>
      </c>
      <c r="L34" s="2">
        <v>4</v>
      </c>
      <c r="M34" s="2">
        <v>8</v>
      </c>
      <c r="N34" s="2">
        <v>4</v>
      </c>
      <c r="O34" s="2">
        <v>8</v>
      </c>
      <c r="P34" s="2">
        <v>4</v>
      </c>
      <c r="Q34" s="2">
        <v>8</v>
      </c>
      <c r="R34" s="2">
        <v>4</v>
      </c>
      <c r="S34" s="3">
        <v>46210</v>
      </c>
    </row>
    <row r="35" spans="1:19" x14ac:dyDescent="0.25">
      <c r="A35" s="1" t="s">
        <v>33</v>
      </c>
      <c r="B35" s="2">
        <v>743</v>
      </c>
      <c r="C35" s="2">
        <v>9241</v>
      </c>
      <c r="D35" s="34">
        <f t="shared" si="0"/>
        <v>60</v>
      </c>
      <c r="E35" s="2">
        <v>2</v>
      </c>
      <c r="F35" s="2">
        <v>2</v>
      </c>
      <c r="G35" s="2">
        <v>2</v>
      </c>
      <c r="H35" s="2">
        <v>2</v>
      </c>
      <c r="I35" s="2">
        <v>2</v>
      </c>
      <c r="J35" s="2">
        <v>2</v>
      </c>
      <c r="K35" s="2">
        <v>8</v>
      </c>
      <c r="L35" s="2">
        <v>4</v>
      </c>
      <c r="M35" s="2">
        <v>8</v>
      </c>
      <c r="N35" s="2">
        <v>4</v>
      </c>
      <c r="O35" s="2">
        <v>8</v>
      </c>
      <c r="P35" s="2">
        <v>4</v>
      </c>
      <c r="Q35" s="2">
        <v>8</v>
      </c>
      <c r="R35" s="2">
        <v>4</v>
      </c>
      <c r="S35" s="3">
        <v>46210</v>
      </c>
    </row>
    <row r="36" spans="1:19" x14ac:dyDescent="0.25">
      <c r="A36" s="1" t="s">
        <v>33</v>
      </c>
      <c r="B36" s="2">
        <v>744</v>
      </c>
      <c r="C36" s="2">
        <v>9240</v>
      </c>
      <c r="D36" s="34">
        <f t="shared" si="0"/>
        <v>60</v>
      </c>
      <c r="E36" s="2">
        <v>2</v>
      </c>
      <c r="F36" s="2">
        <v>2</v>
      </c>
      <c r="G36" s="2">
        <v>2</v>
      </c>
      <c r="H36" s="2">
        <v>2</v>
      </c>
      <c r="I36" s="2">
        <v>2</v>
      </c>
      <c r="J36" s="2">
        <v>2</v>
      </c>
      <c r="K36" s="2">
        <v>8</v>
      </c>
      <c r="L36" s="2">
        <v>4</v>
      </c>
      <c r="M36" s="2">
        <v>8</v>
      </c>
      <c r="N36" s="2">
        <v>4</v>
      </c>
      <c r="O36" s="2">
        <v>8</v>
      </c>
      <c r="P36" s="2">
        <v>4</v>
      </c>
      <c r="Q36" s="2">
        <v>8</v>
      </c>
      <c r="R36" s="2">
        <v>4</v>
      </c>
      <c r="S36" s="3">
        <v>46210</v>
      </c>
    </row>
    <row r="37" spans="1:19" x14ac:dyDescent="0.25">
      <c r="A37" s="1" t="s">
        <v>33</v>
      </c>
      <c r="B37" s="2">
        <v>745</v>
      </c>
      <c r="C37" s="2">
        <v>2402</v>
      </c>
      <c r="D37" s="34">
        <f t="shared" si="0"/>
        <v>60</v>
      </c>
      <c r="E37" s="2">
        <v>2</v>
      </c>
      <c r="F37" s="2">
        <v>2</v>
      </c>
      <c r="G37" s="2">
        <v>2</v>
      </c>
      <c r="H37" s="2">
        <v>2</v>
      </c>
      <c r="I37" s="2">
        <v>2</v>
      </c>
      <c r="J37" s="2">
        <v>2</v>
      </c>
      <c r="K37" s="2">
        <v>8</v>
      </c>
      <c r="L37" s="2">
        <v>4</v>
      </c>
      <c r="M37" s="2">
        <v>8</v>
      </c>
      <c r="N37" s="2">
        <v>4</v>
      </c>
      <c r="O37" s="2">
        <v>8</v>
      </c>
      <c r="P37" s="2">
        <v>4</v>
      </c>
      <c r="Q37" s="2">
        <v>8</v>
      </c>
      <c r="R37" s="2">
        <v>4</v>
      </c>
      <c r="S37" s="3">
        <v>46210</v>
      </c>
    </row>
    <row r="38" spans="1:19" x14ac:dyDescent="0.25">
      <c r="A38" s="1" t="s">
        <v>33</v>
      </c>
      <c r="B38" s="2">
        <v>746</v>
      </c>
      <c r="C38" s="2">
        <v>9280</v>
      </c>
      <c r="D38" s="34">
        <f t="shared" si="0"/>
        <v>60</v>
      </c>
      <c r="E38" s="2">
        <v>2</v>
      </c>
      <c r="F38" s="2">
        <v>2</v>
      </c>
      <c r="G38" s="2">
        <v>2</v>
      </c>
      <c r="H38" s="2">
        <v>2</v>
      </c>
      <c r="I38" s="2">
        <v>2</v>
      </c>
      <c r="J38" s="2">
        <v>2</v>
      </c>
      <c r="K38" s="2">
        <v>8</v>
      </c>
      <c r="L38" s="2">
        <v>4</v>
      </c>
      <c r="M38" s="2">
        <v>8</v>
      </c>
      <c r="N38" s="2">
        <v>4</v>
      </c>
      <c r="O38" s="2">
        <v>8</v>
      </c>
      <c r="P38" s="2">
        <v>4</v>
      </c>
      <c r="Q38" s="2">
        <v>8</v>
      </c>
      <c r="R38" s="2">
        <v>4</v>
      </c>
      <c r="S38" s="3">
        <v>46210</v>
      </c>
    </row>
    <row r="39" spans="1:19" x14ac:dyDescent="0.25">
      <c r="A39" s="1" t="s">
        <v>28</v>
      </c>
      <c r="B39" s="2">
        <v>747</v>
      </c>
      <c r="C39" s="2">
        <v>9278</v>
      </c>
      <c r="D39" s="34">
        <f t="shared" si="0"/>
        <v>24</v>
      </c>
      <c r="E39" s="2">
        <v>2</v>
      </c>
      <c r="F39" s="2">
        <v>2</v>
      </c>
      <c r="G39" s="2">
        <v>2</v>
      </c>
      <c r="H39" s="2">
        <v>2</v>
      </c>
      <c r="I39" s="2">
        <v>2</v>
      </c>
      <c r="J39" s="2">
        <v>2</v>
      </c>
      <c r="K39" s="2">
        <v>2</v>
      </c>
      <c r="L39" s="2">
        <v>1</v>
      </c>
      <c r="M39" s="2">
        <v>2</v>
      </c>
      <c r="N39" s="2">
        <v>1</v>
      </c>
      <c r="O39" s="2">
        <v>2</v>
      </c>
      <c r="P39" s="2">
        <v>1</v>
      </c>
      <c r="Q39" s="2">
        <v>2</v>
      </c>
      <c r="R39" s="2">
        <v>1</v>
      </c>
      <c r="S39" s="3">
        <v>46210</v>
      </c>
    </row>
    <row r="40" spans="1:19" x14ac:dyDescent="0.25">
      <c r="A40" s="1" t="s">
        <v>28</v>
      </c>
      <c r="B40" s="2">
        <v>748</v>
      </c>
      <c r="C40" s="2">
        <v>9219</v>
      </c>
      <c r="D40" s="34">
        <f t="shared" si="0"/>
        <v>24</v>
      </c>
      <c r="E40" s="2">
        <v>2</v>
      </c>
      <c r="F40" s="2">
        <v>2</v>
      </c>
      <c r="G40" s="2">
        <v>2</v>
      </c>
      <c r="H40" s="2">
        <v>2</v>
      </c>
      <c r="I40" s="2">
        <v>2</v>
      </c>
      <c r="J40" s="2">
        <v>2</v>
      </c>
      <c r="K40" s="2">
        <v>2</v>
      </c>
      <c r="L40" s="2">
        <v>1</v>
      </c>
      <c r="M40" s="2">
        <v>2</v>
      </c>
      <c r="N40" s="2">
        <v>1</v>
      </c>
      <c r="O40" s="2">
        <v>2</v>
      </c>
      <c r="P40" s="2">
        <v>1</v>
      </c>
      <c r="Q40" s="2">
        <v>2</v>
      </c>
      <c r="R40" s="2">
        <v>1</v>
      </c>
      <c r="S40" s="3">
        <v>46210</v>
      </c>
    </row>
    <row r="41" spans="1:19" x14ac:dyDescent="0.25">
      <c r="A41" s="1" t="s">
        <v>28</v>
      </c>
      <c r="B41" s="2">
        <v>749</v>
      </c>
      <c r="C41" s="2">
        <v>9231</v>
      </c>
      <c r="D41" s="34">
        <f t="shared" si="0"/>
        <v>24</v>
      </c>
      <c r="E41" s="2">
        <v>2</v>
      </c>
      <c r="F41" s="2">
        <v>2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>
        <v>1</v>
      </c>
      <c r="M41" s="2">
        <v>2</v>
      </c>
      <c r="N41" s="2">
        <v>1</v>
      </c>
      <c r="O41" s="2">
        <v>2</v>
      </c>
      <c r="P41" s="2">
        <v>1</v>
      </c>
      <c r="Q41" s="2">
        <v>2</v>
      </c>
      <c r="R41" s="2">
        <v>1</v>
      </c>
      <c r="S41" s="3">
        <v>46210</v>
      </c>
    </row>
    <row r="42" spans="1:19" x14ac:dyDescent="0.25">
      <c r="A42" s="1" t="s">
        <v>28</v>
      </c>
      <c r="B42" s="2">
        <v>750</v>
      </c>
      <c r="C42" s="2">
        <v>9272</v>
      </c>
      <c r="D42" s="34">
        <f t="shared" si="0"/>
        <v>24</v>
      </c>
      <c r="E42" s="2">
        <v>2</v>
      </c>
      <c r="F42" s="2">
        <v>2</v>
      </c>
      <c r="G42" s="2">
        <v>2</v>
      </c>
      <c r="H42" s="2">
        <v>2</v>
      </c>
      <c r="I42" s="2">
        <v>2</v>
      </c>
      <c r="J42" s="2">
        <v>2</v>
      </c>
      <c r="K42" s="2">
        <v>2</v>
      </c>
      <c r="L42" s="2">
        <v>1</v>
      </c>
      <c r="M42" s="2">
        <v>2</v>
      </c>
      <c r="N42" s="2">
        <v>1</v>
      </c>
      <c r="O42" s="2">
        <v>2</v>
      </c>
      <c r="P42" s="2">
        <v>1</v>
      </c>
      <c r="Q42" s="2">
        <v>2</v>
      </c>
      <c r="R42" s="2">
        <v>1</v>
      </c>
      <c r="S42" s="3">
        <v>46210</v>
      </c>
    </row>
    <row r="43" spans="1:19" x14ac:dyDescent="0.25">
      <c r="A43" s="1" t="s">
        <v>28</v>
      </c>
      <c r="B43" s="2">
        <v>751</v>
      </c>
      <c r="C43" s="2">
        <v>9276</v>
      </c>
      <c r="D43" s="34">
        <f t="shared" si="0"/>
        <v>24</v>
      </c>
      <c r="E43" s="2">
        <v>2</v>
      </c>
      <c r="F43" s="2">
        <v>2</v>
      </c>
      <c r="G43" s="2">
        <v>2</v>
      </c>
      <c r="H43" s="2">
        <v>2</v>
      </c>
      <c r="I43" s="2">
        <v>2</v>
      </c>
      <c r="J43" s="2">
        <v>2</v>
      </c>
      <c r="K43" s="2">
        <v>2</v>
      </c>
      <c r="L43" s="2">
        <v>1</v>
      </c>
      <c r="M43" s="2">
        <v>2</v>
      </c>
      <c r="N43" s="2">
        <v>1</v>
      </c>
      <c r="O43" s="2">
        <v>2</v>
      </c>
      <c r="P43" s="2">
        <v>1</v>
      </c>
      <c r="Q43" s="2">
        <v>2</v>
      </c>
      <c r="R43" s="2">
        <v>1</v>
      </c>
      <c r="S43" s="3">
        <v>46210</v>
      </c>
    </row>
    <row r="44" spans="1:19" x14ac:dyDescent="0.25">
      <c r="A44" s="1" t="s">
        <v>28</v>
      </c>
      <c r="B44" s="2">
        <v>752</v>
      </c>
      <c r="C44" s="2">
        <v>9280</v>
      </c>
      <c r="D44" s="34">
        <f t="shared" si="0"/>
        <v>24</v>
      </c>
      <c r="E44" s="2">
        <v>2</v>
      </c>
      <c r="F44" s="2">
        <v>2</v>
      </c>
      <c r="G44" s="2">
        <v>2</v>
      </c>
      <c r="H44" s="2">
        <v>2</v>
      </c>
      <c r="I44" s="2">
        <v>2</v>
      </c>
      <c r="J44" s="2">
        <v>2</v>
      </c>
      <c r="K44" s="2">
        <v>2</v>
      </c>
      <c r="L44" s="2">
        <v>1</v>
      </c>
      <c r="M44" s="2">
        <v>2</v>
      </c>
      <c r="N44" s="2">
        <v>1</v>
      </c>
      <c r="O44" s="2">
        <v>2</v>
      </c>
      <c r="P44" s="2">
        <v>1</v>
      </c>
      <c r="Q44" s="2">
        <v>2</v>
      </c>
      <c r="R44" s="2">
        <v>1</v>
      </c>
      <c r="S44" s="3">
        <v>46210</v>
      </c>
    </row>
    <row r="45" spans="1:19" x14ac:dyDescent="0.25">
      <c r="A45" s="1" t="s">
        <v>28</v>
      </c>
      <c r="B45" s="2">
        <v>753</v>
      </c>
      <c r="C45" s="2">
        <v>9202</v>
      </c>
      <c r="D45" s="34">
        <f t="shared" si="0"/>
        <v>24</v>
      </c>
      <c r="E45" s="2">
        <v>2</v>
      </c>
      <c r="F45" s="2">
        <v>2</v>
      </c>
      <c r="G45" s="2">
        <v>2</v>
      </c>
      <c r="H45" s="2">
        <v>2</v>
      </c>
      <c r="I45" s="2">
        <v>2</v>
      </c>
      <c r="J45" s="2">
        <v>2</v>
      </c>
      <c r="K45" s="2">
        <v>2</v>
      </c>
      <c r="L45" s="2">
        <v>1</v>
      </c>
      <c r="M45" s="2">
        <v>2</v>
      </c>
      <c r="N45" s="2">
        <v>1</v>
      </c>
      <c r="O45" s="2">
        <v>2</v>
      </c>
      <c r="P45" s="2">
        <v>1</v>
      </c>
      <c r="Q45" s="2">
        <v>2</v>
      </c>
      <c r="R45" s="2">
        <v>1</v>
      </c>
      <c r="S45" s="3">
        <v>46210</v>
      </c>
    </row>
    <row r="46" spans="1:19" x14ac:dyDescent="0.25">
      <c r="A46" s="1" t="s">
        <v>28</v>
      </c>
      <c r="B46" s="2">
        <v>754</v>
      </c>
      <c r="C46" s="2">
        <v>9208</v>
      </c>
      <c r="D46" s="34">
        <f t="shared" si="0"/>
        <v>24</v>
      </c>
      <c r="E46" s="2">
        <v>2</v>
      </c>
      <c r="F46" s="2">
        <v>2</v>
      </c>
      <c r="G46" s="2">
        <v>2</v>
      </c>
      <c r="H46" s="2">
        <v>2</v>
      </c>
      <c r="I46" s="2">
        <v>2</v>
      </c>
      <c r="J46" s="2">
        <v>2</v>
      </c>
      <c r="K46" s="2">
        <v>2</v>
      </c>
      <c r="L46" s="2">
        <v>1</v>
      </c>
      <c r="M46" s="2">
        <v>2</v>
      </c>
      <c r="N46" s="2">
        <v>1</v>
      </c>
      <c r="O46" s="2">
        <v>2</v>
      </c>
      <c r="P46" s="2">
        <v>1</v>
      </c>
      <c r="Q46" s="2">
        <v>2</v>
      </c>
      <c r="R46" s="2">
        <v>1</v>
      </c>
      <c r="S46" s="3">
        <v>46210</v>
      </c>
    </row>
    <row r="47" spans="1:19" x14ac:dyDescent="0.25">
      <c r="A47" s="1" t="s">
        <v>28</v>
      </c>
      <c r="B47" s="2">
        <v>755</v>
      </c>
      <c r="C47" s="2">
        <v>9232</v>
      </c>
      <c r="D47" s="34">
        <f t="shared" si="0"/>
        <v>24</v>
      </c>
      <c r="E47" s="2">
        <v>2</v>
      </c>
      <c r="F47" s="2">
        <v>2</v>
      </c>
      <c r="G47" s="2">
        <v>2</v>
      </c>
      <c r="H47" s="2">
        <v>2</v>
      </c>
      <c r="I47" s="2">
        <v>2</v>
      </c>
      <c r="J47" s="2">
        <v>2</v>
      </c>
      <c r="K47" s="2">
        <v>2</v>
      </c>
      <c r="L47" s="2">
        <v>1</v>
      </c>
      <c r="M47" s="2">
        <v>2</v>
      </c>
      <c r="N47" s="2">
        <v>1</v>
      </c>
      <c r="O47" s="2">
        <v>2</v>
      </c>
      <c r="P47" s="2">
        <v>1</v>
      </c>
      <c r="Q47" s="2">
        <v>2</v>
      </c>
      <c r="R47" s="2">
        <v>1</v>
      </c>
      <c r="S47" s="3">
        <v>46210</v>
      </c>
    </row>
    <row r="48" spans="1:19" x14ac:dyDescent="0.25">
      <c r="A48" s="1" t="s">
        <v>28</v>
      </c>
      <c r="B48" s="2">
        <v>756</v>
      </c>
      <c r="C48" s="2">
        <v>9245</v>
      </c>
      <c r="D48" s="34">
        <f t="shared" si="0"/>
        <v>24</v>
      </c>
      <c r="E48" s="2">
        <v>2</v>
      </c>
      <c r="F48" s="2">
        <v>2</v>
      </c>
      <c r="G48" s="2">
        <v>2</v>
      </c>
      <c r="H48" s="2">
        <v>2</v>
      </c>
      <c r="I48" s="2">
        <v>2</v>
      </c>
      <c r="J48" s="2">
        <v>2</v>
      </c>
      <c r="K48" s="2">
        <v>2</v>
      </c>
      <c r="L48" s="2">
        <v>1</v>
      </c>
      <c r="M48" s="2">
        <v>2</v>
      </c>
      <c r="N48" s="2">
        <v>1</v>
      </c>
      <c r="O48" s="2">
        <v>2</v>
      </c>
      <c r="P48" s="2">
        <v>1</v>
      </c>
      <c r="Q48" s="2">
        <v>2</v>
      </c>
      <c r="R48" s="2">
        <v>1</v>
      </c>
      <c r="S48" s="3">
        <v>46210</v>
      </c>
    </row>
    <row r="49" spans="1:19" x14ac:dyDescent="0.25">
      <c r="D49" s="34">
        <f>SUM(D3:D48)</f>
        <v>1517</v>
      </c>
    </row>
    <row r="51" spans="1:19" x14ac:dyDescent="0.25">
      <c r="A51" s="6" t="s">
        <v>0</v>
      </c>
      <c r="B51" s="6" t="s">
        <v>1</v>
      </c>
      <c r="C51" s="6" t="s">
        <v>3</v>
      </c>
      <c r="D51" s="12" t="s">
        <v>2</v>
      </c>
      <c r="E51" s="6">
        <v>22</v>
      </c>
      <c r="F51" s="6">
        <v>22.5</v>
      </c>
      <c r="G51" s="6">
        <v>23</v>
      </c>
      <c r="H51" s="6">
        <v>23.5</v>
      </c>
      <c r="I51" s="6">
        <v>24</v>
      </c>
      <c r="J51" s="6">
        <v>24.5</v>
      </c>
      <c r="K51" s="6">
        <v>25</v>
      </c>
      <c r="L51" s="6">
        <v>25.5</v>
      </c>
      <c r="M51" s="6">
        <v>26</v>
      </c>
      <c r="N51" s="110" t="s">
        <v>233</v>
      </c>
      <c r="O51" s="111"/>
      <c r="P51" s="82" t="s">
        <v>9</v>
      </c>
      <c r="Q51" s="83"/>
      <c r="R51" s="82" t="s">
        <v>10</v>
      </c>
      <c r="S51" s="83"/>
    </row>
    <row r="52" spans="1:19" x14ac:dyDescent="0.25">
      <c r="A52" s="1" t="s">
        <v>42</v>
      </c>
      <c r="B52" s="2">
        <v>727</v>
      </c>
      <c r="C52" s="2">
        <v>9227</v>
      </c>
      <c r="D52" s="2">
        <f>SUM(E52:M52)</f>
        <v>7</v>
      </c>
      <c r="E52" s="2"/>
      <c r="F52" s="2">
        <v>2</v>
      </c>
      <c r="G52" s="2">
        <v>2</v>
      </c>
      <c r="H52" s="2"/>
      <c r="I52" s="2"/>
      <c r="J52" s="2"/>
      <c r="K52" s="2">
        <v>1</v>
      </c>
      <c r="L52" s="2">
        <v>2</v>
      </c>
      <c r="M52" s="2"/>
      <c r="N52" s="76">
        <v>46210</v>
      </c>
      <c r="O52" s="78"/>
      <c r="P52" s="79"/>
      <c r="Q52" s="78"/>
      <c r="R52" s="79"/>
      <c r="S52" s="78"/>
    </row>
    <row r="53" spans="1:19" x14ac:dyDescent="0.25">
      <c r="A53" s="1" t="s">
        <v>42</v>
      </c>
      <c r="B53" s="2">
        <v>728</v>
      </c>
      <c r="C53" s="2">
        <v>9203</v>
      </c>
      <c r="D53" s="2">
        <f t="shared" ref="D53:D55" si="1">SUM(E53:M53)</f>
        <v>6</v>
      </c>
      <c r="E53" s="2"/>
      <c r="F53" s="2">
        <v>1</v>
      </c>
      <c r="G53" s="2">
        <v>2</v>
      </c>
      <c r="H53" s="2">
        <v>2</v>
      </c>
      <c r="I53" s="2">
        <v>1</v>
      </c>
      <c r="J53" s="2"/>
      <c r="K53" s="2"/>
      <c r="L53" s="2"/>
      <c r="M53" s="2"/>
      <c r="N53" s="76">
        <v>46210</v>
      </c>
      <c r="O53" s="78"/>
      <c r="P53" s="79"/>
      <c r="Q53" s="78"/>
      <c r="R53" s="79"/>
      <c r="S53" s="78"/>
    </row>
    <row r="54" spans="1:19" x14ac:dyDescent="0.25">
      <c r="A54" s="1" t="s">
        <v>42</v>
      </c>
      <c r="B54" s="2">
        <v>729</v>
      </c>
      <c r="C54" s="2">
        <v>9205</v>
      </c>
      <c r="D54" s="2">
        <f t="shared" si="1"/>
        <v>6</v>
      </c>
      <c r="E54" s="2"/>
      <c r="F54" s="2"/>
      <c r="G54" s="2"/>
      <c r="H54" s="2">
        <v>2</v>
      </c>
      <c r="I54" s="2">
        <v>2</v>
      </c>
      <c r="J54" s="2">
        <v>1</v>
      </c>
      <c r="K54" s="2">
        <v>1</v>
      </c>
      <c r="L54" s="2"/>
      <c r="M54" s="2"/>
      <c r="N54" s="76">
        <v>46210</v>
      </c>
      <c r="O54" s="78"/>
      <c r="P54" s="79"/>
      <c r="Q54" s="78"/>
      <c r="R54" s="79"/>
      <c r="S54" s="78"/>
    </row>
    <row r="55" spans="1:19" x14ac:dyDescent="0.25">
      <c r="A55" s="1" t="s">
        <v>42</v>
      </c>
      <c r="B55" s="2">
        <v>730</v>
      </c>
      <c r="C55" s="2">
        <v>9208</v>
      </c>
      <c r="D55" s="2">
        <f t="shared" si="1"/>
        <v>8</v>
      </c>
      <c r="E55" s="2">
        <v>1</v>
      </c>
      <c r="F55" s="2">
        <v>2</v>
      </c>
      <c r="G55" s="2">
        <v>1</v>
      </c>
      <c r="H55" s="2">
        <v>1</v>
      </c>
      <c r="I55" s="2"/>
      <c r="J55" s="2"/>
      <c r="K55" s="2">
        <v>2</v>
      </c>
      <c r="L55" s="2">
        <v>1</v>
      </c>
      <c r="M55" s="2"/>
      <c r="N55" s="76">
        <v>46210</v>
      </c>
      <c r="O55" s="78"/>
      <c r="P55" s="79"/>
      <c r="Q55" s="78"/>
      <c r="R55" s="79"/>
      <c r="S55" s="78"/>
    </row>
    <row r="56" spans="1:19" x14ac:dyDescent="0.25">
      <c r="D56" s="2">
        <f>SUM(D52:D55)</f>
        <v>27</v>
      </c>
    </row>
    <row r="57" spans="1:19" x14ac:dyDescent="0.25">
      <c r="C57" s="48">
        <f>D56+D49</f>
        <v>1544</v>
      </c>
    </row>
  </sheetData>
  <mergeCells count="18">
    <mergeCell ref="A1:D1"/>
    <mergeCell ref="E1:R1"/>
    <mergeCell ref="S1:S2"/>
    <mergeCell ref="N51:O51"/>
    <mergeCell ref="P51:Q51"/>
    <mergeCell ref="R51:S51"/>
    <mergeCell ref="R52:S52"/>
    <mergeCell ref="R53:S53"/>
    <mergeCell ref="R54:S54"/>
    <mergeCell ref="R55:S55"/>
    <mergeCell ref="N52:O52"/>
    <mergeCell ref="N53:O53"/>
    <mergeCell ref="N54:O54"/>
    <mergeCell ref="N55:O55"/>
    <mergeCell ref="P52:Q52"/>
    <mergeCell ref="P53:Q53"/>
    <mergeCell ref="P54:Q54"/>
    <mergeCell ref="P55:Q55"/>
  </mergeCells>
  <pageMargins left="0.7" right="0.7" top="0.75" bottom="0.75" header="0.3" footer="0.3"/>
  <pageSetup paperSize="0" orientation="portrait" horizontalDpi="203" verticalDpi="203" r:id="rId1"/>
  <ignoredErrors>
    <ignoredError sqref="D3:D22 D23:D48 D53:D55 D52 D56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735"/>
  <sheetViews>
    <sheetView topLeftCell="A28" workbookViewId="0">
      <selection activeCell="D60" sqref="D60:D68"/>
    </sheetView>
  </sheetViews>
  <sheetFormatPr defaultColWidth="11.42578125" defaultRowHeight="15" x14ac:dyDescent="0.25"/>
  <cols>
    <col min="1" max="1" width="18.140625" customWidth="1"/>
    <col min="4" max="4" width="8.7109375" customWidth="1"/>
    <col min="5" max="5" width="4.7109375" customWidth="1"/>
    <col min="6" max="6" width="5.5703125" customWidth="1"/>
    <col min="7" max="7" width="4.5703125" customWidth="1"/>
    <col min="8" max="8" width="5.28515625" customWidth="1"/>
    <col min="9" max="9" width="4.5703125" customWidth="1"/>
    <col min="10" max="10" width="5.140625" customWidth="1"/>
    <col min="11" max="11" width="4.85546875" customWidth="1"/>
    <col min="12" max="12" width="5" customWidth="1"/>
    <col min="13" max="13" width="4.28515625" customWidth="1"/>
    <col min="14" max="14" width="5" customWidth="1"/>
    <col min="15" max="15" width="5.42578125" customWidth="1"/>
    <col min="16" max="16" width="4.85546875" customWidth="1"/>
    <col min="17" max="17" width="3.85546875" customWidth="1"/>
    <col min="18" max="18" width="4.85546875" customWidth="1"/>
  </cols>
  <sheetData>
    <row r="1" spans="1:19" ht="18.75" x14ac:dyDescent="0.25">
      <c r="A1" s="63" t="s">
        <v>280</v>
      </c>
      <c r="B1" s="63"/>
      <c r="C1" s="63"/>
      <c r="D1" s="63"/>
      <c r="E1" s="63" t="s">
        <v>4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4" t="s">
        <v>226</v>
      </c>
    </row>
    <row r="2" spans="1:19" x14ac:dyDescent="0.25">
      <c r="A2" s="22" t="s">
        <v>0</v>
      </c>
      <c r="B2" s="22" t="s">
        <v>1</v>
      </c>
      <c r="C2" s="22" t="s">
        <v>3</v>
      </c>
      <c r="D2" s="23" t="s">
        <v>2</v>
      </c>
      <c r="E2" s="22">
        <v>15</v>
      </c>
      <c r="F2" s="22">
        <v>15.5</v>
      </c>
      <c r="G2" s="22">
        <v>16</v>
      </c>
      <c r="H2" s="22">
        <v>16.5</v>
      </c>
      <c r="I2" s="22">
        <v>17</v>
      </c>
      <c r="J2" s="22">
        <v>17.5</v>
      </c>
      <c r="K2" s="22">
        <v>18</v>
      </c>
      <c r="L2" s="22">
        <v>18.5</v>
      </c>
      <c r="M2" s="22">
        <v>19</v>
      </c>
      <c r="N2" s="22">
        <v>19.5</v>
      </c>
      <c r="O2" s="22">
        <v>20</v>
      </c>
      <c r="P2" s="22">
        <v>20.5</v>
      </c>
      <c r="Q2" s="22">
        <v>21</v>
      </c>
      <c r="R2" s="22">
        <v>21.5</v>
      </c>
      <c r="S2" s="85"/>
    </row>
    <row r="3" spans="1:19" x14ac:dyDescent="0.25">
      <c r="A3" s="1" t="s">
        <v>241</v>
      </c>
      <c r="B3" s="2">
        <v>699</v>
      </c>
      <c r="C3" s="2">
        <v>2601</v>
      </c>
      <c r="D3" s="2">
        <f>SUM(E3:R3)</f>
        <v>72</v>
      </c>
      <c r="E3" s="2"/>
      <c r="F3" s="2"/>
      <c r="G3" s="2"/>
      <c r="H3" s="2"/>
      <c r="I3" s="2"/>
      <c r="J3" s="2"/>
      <c r="K3" s="2">
        <v>6</v>
      </c>
      <c r="L3" s="2">
        <v>12</v>
      </c>
      <c r="M3" s="2">
        <v>6</v>
      </c>
      <c r="N3" s="2">
        <v>12</v>
      </c>
      <c r="O3" s="2">
        <v>6</v>
      </c>
      <c r="P3" s="2">
        <v>12</v>
      </c>
      <c r="Q3" s="2">
        <v>6</v>
      </c>
      <c r="R3" s="2">
        <v>12</v>
      </c>
      <c r="S3" s="3">
        <v>46217</v>
      </c>
    </row>
    <row r="4" spans="1:19" x14ac:dyDescent="0.25">
      <c r="A4" s="1" t="s">
        <v>241</v>
      </c>
      <c r="B4" s="2">
        <v>700</v>
      </c>
      <c r="C4" s="2">
        <v>2601</v>
      </c>
      <c r="D4" s="2">
        <f t="shared" ref="D4:D28" si="0">SUM(E4:R4)</f>
        <v>36</v>
      </c>
      <c r="E4" s="2"/>
      <c r="F4" s="2"/>
      <c r="G4" s="2"/>
      <c r="H4" s="2"/>
      <c r="I4" s="2"/>
      <c r="J4" s="2"/>
      <c r="K4" s="2">
        <v>3</v>
      </c>
      <c r="L4" s="2">
        <v>6</v>
      </c>
      <c r="M4" s="2">
        <v>3</v>
      </c>
      <c r="N4" s="2">
        <v>6</v>
      </c>
      <c r="O4" s="2">
        <v>3</v>
      </c>
      <c r="P4" s="2">
        <v>6</v>
      </c>
      <c r="Q4" s="2">
        <v>3</v>
      </c>
      <c r="R4" s="2">
        <v>6</v>
      </c>
      <c r="S4" s="3">
        <v>46217</v>
      </c>
    </row>
    <row r="5" spans="1:19" x14ac:dyDescent="0.25">
      <c r="A5" s="1" t="s">
        <v>241</v>
      </c>
      <c r="B5" s="2">
        <v>701</v>
      </c>
      <c r="C5" s="2">
        <v>9270</v>
      </c>
      <c r="D5" s="2">
        <f t="shared" si="0"/>
        <v>72</v>
      </c>
      <c r="E5" s="2"/>
      <c r="F5" s="2"/>
      <c r="G5" s="2"/>
      <c r="H5" s="2"/>
      <c r="I5" s="2"/>
      <c r="J5" s="2"/>
      <c r="K5" s="2">
        <v>6</v>
      </c>
      <c r="L5" s="2">
        <v>12</v>
      </c>
      <c r="M5" s="2">
        <v>6</v>
      </c>
      <c r="N5" s="2">
        <v>12</v>
      </c>
      <c r="O5" s="2">
        <v>6</v>
      </c>
      <c r="P5" s="2">
        <v>12</v>
      </c>
      <c r="Q5" s="2">
        <v>6</v>
      </c>
      <c r="R5" s="2">
        <v>12</v>
      </c>
      <c r="S5" s="3">
        <v>46217</v>
      </c>
    </row>
    <row r="6" spans="1:19" x14ac:dyDescent="0.25">
      <c r="A6" s="1" t="s">
        <v>241</v>
      </c>
      <c r="B6" s="2">
        <v>702</v>
      </c>
      <c r="C6" s="2">
        <v>9270</v>
      </c>
      <c r="D6" s="2">
        <f t="shared" si="0"/>
        <v>36</v>
      </c>
      <c r="E6" s="2"/>
      <c r="F6" s="2"/>
      <c r="G6" s="2"/>
      <c r="H6" s="2"/>
      <c r="I6" s="2"/>
      <c r="J6" s="2"/>
      <c r="K6" s="2">
        <v>3</v>
      </c>
      <c r="L6" s="2">
        <v>6</v>
      </c>
      <c r="M6" s="2">
        <v>3</v>
      </c>
      <c r="N6" s="2">
        <v>6</v>
      </c>
      <c r="O6" s="2">
        <v>3</v>
      </c>
      <c r="P6" s="2">
        <v>6</v>
      </c>
      <c r="Q6" s="2">
        <v>3</v>
      </c>
      <c r="R6" s="2">
        <v>6</v>
      </c>
      <c r="S6" s="3">
        <v>46217</v>
      </c>
    </row>
    <row r="7" spans="1:19" x14ac:dyDescent="0.25">
      <c r="A7" s="1" t="s">
        <v>74</v>
      </c>
      <c r="B7" s="2">
        <v>771</v>
      </c>
      <c r="C7" s="2">
        <v>1001</v>
      </c>
      <c r="D7" s="2">
        <f t="shared" si="0"/>
        <v>60</v>
      </c>
      <c r="E7" s="2">
        <v>6</v>
      </c>
      <c r="F7" s="2"/>
      <c r="G7" s="2">
        <v>6</v>
      </c>
      <c r="H7" s="2"/>
      <c r="I7" s="2">
        <v>6</v>
      </c>
      <c r="J7" s="2"/>
      <c r="K7" s="2">
        <v>10</v>
      </c>
      <c r="L7" s="2"/>
      <c r="M7" s="2">
        <v>10</v>
      </c>
      <c r="N7" s="2"/>
      <c r="O7" s="2">
        <v>10</v>
      </c>
      <c r="P7" s="2"/>
      <c r="Q7" s="2">
        <v>12</v>
      </c>
      <c r="R7" s="2"/>
      <c r="S7" s="3">
        <v>46217</v>
      </c>
    </row>
    <row r="8" spans="1:19" x14ac:dyDescent="0.25">
      <c r="A8" s="1" t="s">
        <v>74</v>
      </c>
      <c r="B8" s="2">
        <v>772</v>
      </c>
      <c r="C8" s="2">
        <v>9218</v>
      </c>
      <c r="D8" s="2">
        <f t="shared" si="0"/>
        <v>60</v>
      </c>
      <c r="E8" s="2">
        <v>6</v>
      </c>
      <c r="F8" s="2"/>
      <c r="G8" s="2">
        <v>6</v>
      </c>
      <c r="H8" s="2"/>
      <c r="I8" s="2">
        <v>6</v>
      </c>
      <c r="J8" s="2"/>
      <c r="K8" s="2">
        <v>10</v>
      </c>
      <c r="L8" s="2"/>
      <c r="M8" s="2">
        <v>10</v>
      </c>
      <c r="N8" s="2"/>
      <c r="O8" s="2">
        <v>10</v>
      </c>
      <c r="P8" s="2"/>
      <c r="Q8" s="2">
        <v>12</v>
      </c>
      <c r="R8" s="2"/>
      <c r="S8" s="3">
        <v>46217</v>
      </c>
    </row>
    <row r="9" spans="1:19" x14ac:dyDescent="0.25">
      <c r="A9" s="1" t="s">
        <v>74</v>
      </c>
      <c r="B9" s="2">
        <v>773</v>
      </c>
      <c r="C9" s="2">
        <v>9224</v>
      </c>
      <c r="D9" s="2">
        <f t="shared" si="0"/>
        <v>60</v>
      </c>
      <c r="E9" s="2">
        <v>6</v>
      </c>
      <c r="F9" s="2"/>
      <c r="G9" s="2">
        <v>6</v>
      </c>
      <c r="H9" s="2"/>
      <c r="I9" s="2">
        <v>6</v>
      </c>
      <c r="J9" s="2"/>
      <c r="K9" s="2">
        <v>10</v>
      </c>
      <c r="L9" s="2"/>
      <c r="M9" s="2">
        <v>10</v>
      </c>
      <c r="N9" s="2"/>
      <c r="O9" s="2">
        <v>10</v>
      </c>
      <c r="P9" s="2"/>
      <c r="Q9" s="2">
        <v>12</v>
      </c>
      <c r="R9" s="2"/>
      <c r="S9" s="3">
        <v>46217</v>
      </c>
    </row>
    <row r="10" spans="1:19" x14ac:dyDescent="0.25">
      <c r="A10" s="1" t="s">
        <v>74</v>
      </c>
      <c r="B10" s="2">
        <v>774</v>
      </c>
      <c r="C10" s="2">
        <v>9232</v>
      </c>
      <c r="D10" s="2">
        <f t="shared" si="0"/>
        <v>60</v>
      </c>
      <c r="E10" s="2">
        <v>6</v>
      </c>
      <c r="F10" s="2"/>
      <c r="G10" s="2">
        <v>6</v>
      </c>
      <c r="H10" s="2"/>
      <c r="I10" s="2">
        <v>6</v>
      </c>
      <c r="J10" s="2"/>
      <c r="K10" s="2">
        <v>10</v>
      </c>
      <c r="L10" s="2"/>
      <c r="M10" s="2">
        <v>10</v>
      </c>
      <c r="N10" s="2"/>
      <c r="O10" s="2">
        <v>10</v>
      </c>
      <c r="P10" s="2"/>
      <c r="Q10" s="2">
        <v>12</v>
      </c>
      <c r="R10" s="2"/>
      <c r="S10" s="3">
        <v>46217</v>
      </c>
    </row>
    <row r="11" spans="1:19" x14ac:dyDescent="0.25">
      <c r="A11" s="1" t="s">
        <v>74</v>
      </c>
      <c r="B11" s="2">
        <v>775</v>
      </c>
      <c r="C11" s="2">
        <v>9203</v>
      </c>
      <c r="D11" s="2">
        <f t="shared" si="0"/>
        <v>60</v>
      </c>
      <c r="E11" s="2">
        <v>6</v>
      </c>
      <c r="F11" s="2"/>
      <c r="G11" s="2">
        <v>6</v>
      </c>
      <c r="H11" s="2"/>
      <c r="I11" s="2">
        <v>6</v>
      </c>
      <c r="J11" s="2"/>
      <c r="K11" s="2">
        <v>10</v>
      </c>
      <c r="L11" s="2"/>
      <c r="M11" s="2">
        <v>10</v>
      </c>
      <c r="N11" s="2"/>
      <c r="O11" s="2">
        <v>10</v>
      </c>
      <c r="P11" s="2"/>
      <c r="Q11" s="2">
        <v>12</v>
      </c>
      <c r="R11" s="2"/>
      <c r="S11" s="3">
        <v>46217</v>
      </c>
    </row>
    <row r="12" spans="1:19" x14ac:dyDescent="0.25">
      <c r="A12" s="1" t="s">
        <v>74</v>
      </c>
      <c r="B12" s="2">
        <v>776</v>
      </c>
      <c r="C12" s="2">
        <v>9219</v>
      </c>
      <c r="D12" s="2">
        <f t="shared" si="0"/>
        <v>60</v>
      </c>
      <c r="E12" s="2">
        <v>6</v>
      </c>
      <c r="F12" s="2"/>
      <c r="G12" s="2">
        <v>6</v>
      </c>
      <c r="H12" s="2"/>
      <c r="I12" s="2">
        <v>6</v>
      </c>
      <c r="J12" s="2"/>
      <c r="K12" s="2">
        <v>10</v>
      </c>
      <c r="L12" s="2"/>
      <c r="M12" s="2">
        <v>10</v>
      </c>
      <c r="N12" s="2"/>
      <c r="O12" s="2">
        <v>10</v>
      </c>
      <c r="P12" s="2"/>
      <c r="Q12" s="2">
        <v>12</v>
      </c>
      <c r="R12" s="2"/>
      <c r="S12" s="3">
        <v>46217</v>
      </c>
    </row>
    <row r="13" spans="1:19" x14ac:dyDescent="0.25">
      <c r="A13" s="1" t="s">
        <v>29</v>
      </c>
      <c r="B13" s="2">
        <v>777</v>
      </c>
      <c r="C13" s="2">
        <v>9264</v>
      </c>
      <c r="D13" s="2">
        <f t="shared" si="0"/>
        <v>36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4</v>
      </c>
      <c r="L13" s="2">
        <v>2</v>
      </c>
      <c r="M13" s="2">
        <v>4</v>
      </c>
      <c r="N13" s="2">
        <v>2</v>
      </c>
      <c r="O13" s="2">
        <v>4</v>
      </c>
      <c r="P13" s="2">
        <v>2</v>
      </c>
      <c r="Q13" s="2">
        <v>4</v>
      </c>
      <c r="R13" s="2">
        <v>2</v>
      </c>
      <c r="S13" s="3">
        <v>46217</v>
      </c>
    </row>
    <row r="14" spans="1:19" x14ac:dyDescent="0.25">
      <c r="A14" s="1" t="s">
        <v>29</v>
      </c>
      <c r="B14" s="2">
        <v>778</v>
      </c>
      <c r="C14" s="2">
        <v>2602</v>
      </c>
      <c r="D14" s="2">
        <f t="shared" si="0"/>
        <v>36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4</v>
      </c>
      <c r="L14" s="2">
        <v>2</v>
      </c>
      <c r="M14" s="2">
        <v>4</v>
      </c>
      <c r="N14" s="2">
        <v>2</v>
      </c>
      <c r="O14" s="2">
        <v>4</v>
      </c>
      <c r="P14" s="2">
        <v>2</v>
      </c>
      <c r="Q14" s="2">
        <v>4</v>
      </c>
      <c r="R14" s="2">
        <v>2</v>
      </c>
      <c r="S14" s="3">
        <v>46217</v>
      </c>
    </row>
    <row r="15" spans="1:19" x14ac:dyDescent="0.25">
      <c r="A15" s="1" t="s">
        <v>29</v>
      </c>
      <c r="B15" s="2">
        <v>779</v>
      </c>
      <c r="C15" s="2">
        <v>2603</v>
      </c>
      <c r="D15" s="2">
        <f t="shared" si="0"/>
        <v>36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4</v>
      </c>
      <c r="L15" s="2">
        <v>2</v>
      </c>
      <c r="M15" s="2">
        <v>4</v>
      </c>
      <c r="N15" s="2">
        <v>2</v>
      </c>
      <c r="O15" s="2">
        <v>4</v>
      </c>
      <c r="P15" s="2">
        <v>2</v>
      </c>
      <c r="Q15" s="2">
        <v>4</v>
      </c>
      <c r="R15" s="2">
        <v>2</v>
      </c>
      <c r="S15" s="3">
        <v>46217</v>
      </c>
    </row>
    <row r="16" spans="1:19" x14ac:dyDescent="0.25">
      <c r="A16" s="1" t="s">
        <v>68</v>
      </c>
      <c r="B16" s="2">
        <v>783</v>
      </c>
      <c r="C16" s="2">
        <v>9208</v>
      </c>
      <c r="D16" s="2">
        <f t="shared" si="0"/>
        <v>48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L16" s="2">
        <v>2</v>
      </c>
      <c r="M16" s="2">
        <v>4</v>
      </c>
      <c r="N16" s="2">
        <v>2</v>
      </c>
      <c r="O16" s="2">
        <v>4</v>
      </c>
      <c r="P16" s="2">
        <v>2</v>
      </c>
      <c r="Q16" s="2">
        <v>4</v>
      </c>
      <c r="R16" s="2">
        <v>2</v>
      </c>
      <c r="S16" s="3">
        <v>46217</v>
      </c>
    </row>
    <row r="17" spans="1:19" x14ac:dyDescent="0.25">
      <c r="A17" s="1" t="s">
        <v>68</v>
      </c>
      <c r="B17" s="2">
        <v>784</v>
      </c>
      <c r="C17" s="2">
        <v>9231</v>
      </c>
      <c r="D17" s="2">
        <f t="shared" si="0"/>
        <v>48</v>
      </c>
      <c r="E17" s="2">
        <v>4</v>
      </c>
      <c r="F17" s="2">
        <v>4</v>
      </c>
      <c r="G17" s="2">
        <v>4</v>
      </c>
      <c r="H17" s="2">
        <v>4</v>
      </c>
      <c r="I17" s="2">
        <v>4</v>
      </c>
      <c r="J17" s="2">
        <v>4</v>
      </c>
      <c r="K17" s="2">
        <v>4</v>
      </c>
      <c r="L17" s="2">
        <v>2</v>
      </c>
      <c r="M17" s="2">
        <v>4</v>
      </c>
      <c r="N17" s="2">
        <v>2</v>
      </c>
      <c r="O17" s="2">
        <v>4</v>
      </c>
      <c r="P17" s="2">
        <v>2</v>
      </c>
      <c r="Q17" s="2">
        <v>4</v>
      </c>
      <c r="R17" s="2">
        <v>2</v>
      </c>
      <c r="S17" s="3">
        <v>46217</v>
      </c>
    </row>
    <row r="18" spans="1:19" x14ac:dyDescent="0.25">
      <c r="A18" s="1" t="s">
        <v>68</v>
      </c>
      <c r="B18" s="2">
        <v>785</v>
      </c>
      <c r="C18" s="2">
        <v>9231</v>
      </c>
      <c r="D18" s="2">
        <f t="shared" si="0"/>
        <v>48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2</v>
      </c>
      <c r="M18" s="2">
        <v>4</v>
      </c>
      <c r="N18" s="2">
        <v>2</v>
      </c>
      <c r="O18" s="2">
        <v>4</v>
      </c>
      <c r="P18" s="2">
        <v>2</v>
      </c>
      <c r="Q18" s="2">
        <v>4</v>
      </c>
      <c r="R18" s="2">
        <v>2</v>
      </c>
      <c r="S18" s="3">
        <v>46217</v>
      </c>
    </row>
    <row r="19" spans="1:19" x14ac:dyDescent="0.25">
      <c r="A19" s="1" t="s">
        <v>281</v>
      </c>
      <c r="B19" s="2">
        <v>789</v>
      </c>
      <c r="C19" s="2">
        <v>2605</v>
      </c>
      <c r="D19" s="2">
        <f t="shared" si="0"/>
        <v>28</v>
      </c>
      <c r="E19" s="2">
        <v>2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>
        <v>2</v>
      </c>
      <c r="M19" s="2">
        <v>2</v>
      </c>
      <c r="N19" s="2">
        <v>2</v>
      </c>
      <c r="O19" s="2">
        <v>2</v>
      </c>
      <c r="P19" s="2">
        <v>2</v>
      </c>
      <c r="Q19" s="2">
        <v>2</v>
      </c>
      <c r="R19" s="2">
        <v>2</v>
      </c>
      <c r="S19" s="3">
        <v>46217</v>
      </c>
    </row>
    <row r="20" spans="1:19" x14ac:dyDescent="0.25">
      <c r="A20" s="1" t="s">
        <v>281</v>
      </c>
      <c r="B20" s="2">
        <v>790</v>
      </c>
      <c r="C20" s="2">
        <v>2604</v>
      </c>
      <c r="D20" s="2">
        <f t="shared" si="0"/>
        <v>14</v>
      </c>
      <c r="E20" s="2">
        <v>2</v>
      </c>
      <c r="F20" s="2"/>
      <c r="G20" s="2">
        <v>2</v>
      </c>
      <c r="H20" s="2"/>
      <c r="I20" s="2">
        <v>2</v>
      </c>
      <c r="J20" s="2"/>
      <c r="K20" s="2">
        <v>2</v>
      </c>
      <c r="L20" s="2"/>
      <c r="M20" s="2">
        <v>2</v>
      </c>
      <c r="N20" s="2"/>
      <c r="O20" s="2">
        <v>2</v>
      </c>
      <c r="P20" s="2"/>
      <c r="Q20" s="2">
        <v>2</v>
      </c>
      <c r="R20" s="2"/>
      <c r="S20" s="3">
        <v>46217</v>
      </c>
    </row>
    <row r="21" spans="1:19" x14ac:dyDescent="0.25">
      <c r="A21" s="1" t="s">
        <v>281</v>
      </c>
      <c r="B21" s="2">
        <v>791</v>
      </c>
      <c r="C21" s="2">
        <v>2603</v>
      </c>
      <c r="D21" s="2">
        <f t="shared" si="0"/>
        <v>14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3">
        <v>46217</v>
      </c>
    </row>
    <row r="22" spans="1:19" x14ac:dyDescent="0.25">
      <c r="A22" s="1" t="s">
        <v>281</v>
      </c>
      <c r="B22" s="2">
        <v>792</v>
      </c>
      <c r="C22" s="2">
        <v>9280</v>
      </c>
      <c r="D22" s="2">
        <f t="shared" si="0"/>
        <v>14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3">
        <v>46217</v>
      </c>
    </row>
    <row r="23" spans="1:19" x14ac:dyDescent="0.25">
      <c r="A23" s="1" t="s">
        <v>281</v>
      </c>
      <c r="B23" s="2">
        <v>793</v>
      </c>
      <c r="C23" s="2">
        <v>9219</v>
      </c>
      <c r="D23" s="2">
        <f t="shared" si="0"/>
        <v>10</v>
      </c>
      <c r="E23" s="2"/>
      <c r="F23" s="2"/>
      <c r="G23" s="2"/>
      <c r="H23" s="2"/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3">
        <v>46217</v>
      </c>
    </row>
    <row r="24" spans="1:19" x14ac:dyDescent="0.25">
      <c r="A24" s="1" t="s">
        <v>281</v>
      </c>
      <c r="B24" s="2">
        <v>794</v>
      </c>
      <c r="C24" s="2">
        <v>9232</v>
      </c>
      <c r="D24" s="2">
        <f t="shared" si="0"/>
        <v>14</v>
      </c>
      <c r="E24" s="2">
        <v>2</v>
      </c>
      <c r="F24" s="2"/>
      <c r="G24" s="2">
        <v>2</v>
      </c>
      <c r="H24" s="2"/>
      <c r="I24" s="2">
        <v>2</v>
      </c>
      <c r="J24" s="2"/>
      <c r="K24" s="2">
        <v>2</v>
      </c>
      <c r="L24" s="2"/>
      <c r="M24" s="2">
        <v>2</v>
      </c>
      <c r="N24" s="2"/>
      <c r="O24" s="2">
        <v>2</v>
      </c>
      <c r="P24" s="2"/>
      <c r="Q24" s="2">
        <v>2</v>
      </c>
      <c r="R24" s="2"/>
      <c r="S24" s="3">
        <v>46217</v>
      </c>
    </row>
    <row r="25" spans="1:19" x14ac:dyDescent="0.25">
      <c r="A25" s="1" t="s">
        <v>281</v>
      </c>
      <c r="B25" s="2">
        <v>795</v>
      </c>
      <c r="C25" s="2">
        <v>2407</v>
      </c>
      <c r="D25" s="2">
        <f t="shared" si="0"/>
        <v>28</v>
      </c>
      <c r="E25" s="2">
        <v>2</v>
      </c>
      <c r="F25" s="2">
        <v>2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2</v>
      </c>
      <c r="M25" s="2">
        <v>2</v>
      </c>
      <c r="N25" s="2">
        <v>2</v>
      </c>
      <c r="O25" s="2">
        <v>2</v>
      </c>
      <c r="P25" s="2">
        <v>2</v>
      </c>
      <c r="Q25" s="2">
        <v>2</v>
      </c>
      <c r="R25" s="2">
        <v>2</v>
      </c>
      <c r="S25" s="3">
        <v>46217</v>
      </c>
    </row>
    <row r="26" spans="1:19" x14ac:dyDescent="0.25">
      <c r="A26" s="1" t="s">
        <v>281</v>
      </c>
      <c r="B26" s="2">
        <v>796</v>
      </c>
      <c r="C26" s="2">
        <v>9201</v>
      </c>
      <c r="D26" s="2">
        <f t="shared" si="0"/>
        <v>28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2</v>
      </c>
      <c r="M26" s="2">
        <v>2</v>
      </c>
      <c r="N26" s="2">
        <v>2</v>
      </c>
      <c r="O26" s="2">
        <v>2</v>
      </c>
      <c r="P26" s="2">
        <v>2</v>
      </c>
      <c r="Q26" s="2">
        <v>2</v>
      </c>
      <c r="R26" s="2">
        <v>2</v>
      </c>
      <c r="S26" s="3">
        <v>46217</v>
      </c>
    </row>
    <row r="27" spans="1:19" x14ac:dyDescent="0.25">
      <c r="A27" s="1" t="s">
        <v>281</v>
      </c>
      <c r="B27" s="2">
        <v>797</v>
      </c>
      <c r="C27" s="2">
        <v>9267</v>
      </c>
      <c r="D27" s="2">
        <f t="shared" si="0"/>
        <v>28</v>
      </c>
      <c r="E27" s="2">
        <v>2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2</v>
      </c>
      <c r="M27" s="2">
        <v>2</v>
      </c>
      <c r="N27" s="2">
        <v>2</v>
      </c>
      <c r="O27" s="2">
        <v>2</v>
      </c>
      <c r="P27" s="2">
        <v>2</v>
      </c>
      <c r="Q27" s="2">
        <v>2</v>
      </c>
      <c r="R27" s="2">
        <v>2</v>
      </c>
      <c r="S27" s="3">
        <v>46217</v>
      </c>
    </row>
    <row r="28" spans="1:19" x14ac:dyDescent="0.25">
      <c r="A28" s="1" t="s">
        <v>281</v>
      </c>
      <c r="B28" s="2">
        <v>798</v>
      </c>
      <c r="C28" s="2">
        <v>9214</v>
      </c>
      <c r="D28" s="2">
        <f t="shared" si="0"/>
        <v>14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3">
        <v>46217</v>
      </c>
    </row>
    <row r="29" spans="1:19" x14ac:dyDescent="0.25">
      <c r="A29" s="1" t="s">
        <v>28</v>
      </c>
      <c r="B29" s="2">
        <v>820</v>
      </c>
      <c r="C29" s="2">
        <v>2601</v>
      </c>
      <c r="D29" s="2">
        <f t="shared" ref="D29:D38" si="1">SUM(E29:R29)</f>
        <v>24</v>
      </c>
      <c r="E29" s="2">
        <v>2</v>
      </c>
      <c r="F29" s="2">
        <v>2</v>
      </c>
      <c r="G29" s="2">
        <v>2</v>
      </c>
      <c r="H29" s="2">
        <v>2</v>
      </c>
      <c r="I29" s="2">
        <v>2</v>
      </c>
      <c r="J29" s="2">
        <v>2</v>
      </c>
      <c r="K29" s="2">
        <v>2</v>
      </c>
      <c r="L29" s="2">
        <v>1</v>
      </c>
      <c r="M29" s="2">
        <v>2</v>
      </c>
      <c r="N29" s="2">
        <v>1</v>
      </c>
      <c r="O29" s="2">
        <v>2</v>
      </c>
      <c r="P29" s="2">
        <v>1</v>
      </c>
      <c r="Q29" s="2">
        <v>2</v>
      </c>
      <c r="R29" s="2">
        <v>1</v>
      </c>
      <c r="S29" s="3">
        <v>46218</v>
      </c>
    </row>
    <row r="30" spans="1:19" x14ac:dyDescent="0.25">
      <c r="A30" s="1" t="s">
        <v>28</v>
      </c>
      <c r="B30" s="2">
        <v>821</v>
      </c>
      <c r="C30" s="2">
        <v>2601</v>
      </c>
      <c r="D30" s="2">
        <f t="shared" si="1"/>
        <v>24</v>
      </c>
      <c r="E30" s="2">
        <v>2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>
        <v>2</v>
      </c>
      <c r="L30" s="2">
        <v>1</v>
      </c>
      <c r="M30" s="2">
        <v>2</v>
      </c>
      <c r="N30" s="2">
        <v>1</v>
      </c>
      <c r="O30" s="2">
        <v>2</v>
      </c>
      <c r="P30" s="2">
        <v>1</v>
      </c>
      <c r="Q30" s="2">
        <v>2</v>
      </c>
      <c r="R30" s="2">
        <v>1</v>
      </c>
      <c r="S30" s="3">
        <v>46219</v>
      </c>
    </row>
    <row r="31" spans="1:19" x14ac:dyDescent="0.25">
      <c r="A31" s="1" t="s">
        <v>28</v>
      </c>
      <c r="B31" s="2">
        <v>822</v>
      </c>
      <c r="C31" s="2">
        <v>2602</v>
      </c>
      <c r="D31" s="2">
        <f t="shared" si="1"/>
        <v>24</v>
      </c>
      <c r="E31" s="2">
        <v>2</v>
      </c>
      <c r="F31" s="2">
        <v>2</v>
      </c>
      <c r="G31" s="2">
        <v>2</v>
      </c>
      <c r="H31" s="2">
        <v>2</v>
      </c>
      <c r="I31" s="2">
        <v>2</v>
      </c>
      <c r="J31" s="2">
        <v>2</v>
      </c>
      <c r="K31" s="2">
        <v>2</v>
      </c>
      <c r="L31" s="2">
        <v>1</v>
      </c>
      <c r="M31" s="2">
        <v>2</v>
      </c>
      <c r="N31" s="2">
        <v>1</v>
      </c>
      <c r="O31" s="2">
        <v>2</v>
      </c>
      <c r="P31" s="2">
        <v>1</v>
      </c>
      <c r="Q31" s="2">
        <v>2</v>
      </c>
      <c r="R31" s="2">
        <v>1</v>
      </c>
      <c r="S31" s="3">
        <v>46220</v>
      </c>
    </row>
    <row r="32" spans="1:19" x14ac:dyDescent="0.25">
      <c r="A32" s="1" t="s">
        <v>28</v>
      </c>
      <c r="B32" s="2">
        <v>823</v>
      </c>
      <c r="C32" s="2">
        <v>2605</v>
      </c>
      <c r="D32" s="2">
        <f t="shared" si="1"/>
        <v>24</v>
      </c>
      <c r="E32" s="2">
        <v>2</v>
      </c>
      <c r="F32" s="2">
        <v>2</v>
      </c>
      <c r="G32" s="2">
        <v>2</v>
      </c>
      <c r="H32" s="2">
        <v>2</v>
      </c>
      <c r="I32" s="2">
        <v>2</v>
      </c>
      <c r="J32" s="2">
        <v>2</v>
      </c>
      <c r="K32" s="2">
        <v>2</v>
      </c>
      <c r="L32" s="2">
        <v>1</v>
      </c>
      <c r="M32" s="2">
        <v>2</v>
      </c>
      <c r="N32" s="2">
        <v>1</v>
      </c>
      <c r="O32" s="2">
        <v>2</v>
      </c>
      <c r="P32" s="2">
        <v>1</v>
      </c>
      <c r="Q32" s="2">
        <v>2</v>
      </c>
      <c r="R32" s="2">
        <v>1</v>
      </c>
      <c r="S32" s="3">
        <v>46221</v>
      </c>
    </row>
    <row r="33" spans="1:19" x14ac:dyDescent="0.25">
      <c r="A33" s="1" t="s">
        <v>28</v>
      </c>
      <c r="B33" s="2">
        <v>824</v>
      </c>
      <c r="C33" s="2">
        <v>9270</v>
      </c>
      <c r="D33" s="2">
        <f t="shared" si="1"/>
        <v>24</v>
      </c>
      <c r="E33" s="2">
        <v>2</v>
      </c>
      <c r="F33" s="2">
        <v>2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1</v>
      </c>
      <c r="M33" s="2">
        <v>2</v>
      </c>
      <c r="N33" s="2">
        <v>1</v>
      </c>
      <c r="O33" s="2">
        <v>2</v>
      </c>
      <c r="P33" s="2">
        <v>1</v>
      </c>
      <c r="Q33" s="2">
        <v>2</v>
      </c>
      <c r="R33" s="2">
        <v>1</v>
      </c>
      <c r="S33" s="3">
        <v>46222</v>
      </c>
    </row>
    <row r="34" spans="1:19" x14ac:dyDescent="0.25">
      <c r="A34" s="1" t="s">
        <v>28</v>
      </c>
      <c r="B34" s="2">
        <v>825</v>
      </c>
      <c r="C34" s="2">
        <v>9272</v>
      </c>
      <c r="D34" s="2">
        <f t="shared" si="1"/>
        <v>24</v>
      </c>
      <c r="E34" s="2">
        <v>2</v>
      </c>
      <c r="F34" s="2">
        <v>2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1</v>
      </c>
      <c r="M34" s="2">
        <v>2</v>
      </c>
      <c r="N34" s="2">
        <v>1</v>
      </c>
      <c r="O34" s="2">
        <v>2</v>
      </c>
      <c r="P34" s="2">
        <v>1</v>
      </c>
      <c r="Q34" s="2">
        <v>2</v>
      </c>
      <c r="R34" s="2">
        <v>1</v>
      </c>
      <c r="S34" s="3">
        <v>46223</v>
      </c>
    </row>
    <row r="35" spans="1:19" x14ac:dyDescent="0.25">
      <c r="A35" s="1" t="s">
        <v>28</v>
      </c>
      <c r="B35" s="2">
        <v>826</v>
      </c>
      <c r="C35" s="2">
        <v>9272</v>
      </c>
      <c r="D35" s="2">
        <f t="shared" si="1"/>
        <v>24</v>
      </c>
      <c r="E35" s="2">
        <v>2</v>
      </c>
      <c r="F35" s="2">
        <v>2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1</v>
      </c>
      <c r="M35" s="2">
        <v>2</v>
      </c>
      <c r="N35" s="2">
        <v>1</v>
      </c>
      <c r="O35" s="2">
        <v>2</v>
      </c>
      <c r="P35" s="2">
        <v>1</v>
      </c>
      <c r="Q35" s="2">
        <v>2</v>
      </c>
      <c r="R35" s="2">
        <v>1</v>
      </c>
      <c r="S35" s="3">
        <v>46224</v>
      </c>
    </row>
    <row r="36" spans="1:19" x14ac:dyDescent="0.25">
      <c r="A36" s="1" t="s">
        <v>28</v>
      </c>
      <c r="B36" s="2">
        <v>827</v>
      </c>
      <c r="C36" s="2">
        <v>9276</v>
      </c>
      <c r="D36" s="2">
        <f t="shared" si="1"/>
        <v>24</v>
      </c>
      <c r="E36" s="2">
        <v>2</v>
      </c>
      <c r="F36" s="2">
        <v>2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1</v>
      </c>
      <c r="M36" s="2">
        <v>2</v>
      </c>
      <c r="N36" s="2">
        <v>1</v>
      </c>
      <c r="O36" s="2">
        <v>2</v>
      </c>
      <c r="P36" s="2">
        <v>1</v>
      </c>
      <c r="Q36" s="2">
        <v>2</v>
      </c>
      <c r="R36" s="2">
        <v>1</v>
      </c>
      <c r="S36" s="3">
        <v>46225</v>
      </c>
    </row>
    <row r="37" spans="1:19" x14ac:dyDescent="0.25">
      <c r="A37" s="1" t="s">
        <v>28</v>
      </c>
      <c r="B37" s="2">
        <v>828</v>
      </c>
      <c r="C37" s="2">
        <v>9276</v>
      </c>
      <c r="D37" s="2">
        <f t="shared" si="1"/>
        <v>24</v>
      </c>
      <c r="E37" s="2">
        <v>2</v>
      </c>
      <c r="F37" s="2">
        <v>2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1</v>
      </c>
      <c r="M37" s="2">
        <v>2</v>
      </c>
      <c r="N37" s="2">
        <v>1</v>
      </c>
      <c r="O37" s="2">
        <v>2</v>
      </c>
      <c r="P37" s="2">
        <v>1</v>
      </c>
      <c r="Q37" s="2">
        <v>2</v>
      </c>
      <c r="R37" s="2">
        <v>1</v>
      </c>
      <c r="S37" s="3">
        <v>46226</v>
      </c>
    </row>
    <row r="38" spans="1:19" x14ac:dyDescent="0.25">
      <c r="A38" s="1" t="s">
        <v>28</v>
      </c>
      <c r="B38" s="2">
        <v>829</v>
      </c>
      <c r="C38" s="2">
        <v>9210</v>
      </c>
      <c r="D38" s="2">
        <f t="shared" si="1"/>
        <v>24</v>
      </c>
      <c r="E38" s="2">
        <v>2</v>
      </c>
      <c r="F38" s="2">
        <v>2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1</v>
      </c>
      <c r="M38" s="2">
        <v>2</v>
      </c>
      <c r="N38" s="2">
        <v>1</v>
      </c>
      <c r="O38" s="2">
        <v>2</v>
      </c>
      <c r="P38" s="2">
        <v>1</v>
      </c>
      <c r="Q38" s="2">
        <v>2</v>
      </c>
      <c r="R38" s="2">
        <v>1</v>
      </c>
      <c r="S38" s="3">
        <v>46227</v>
      </c>
    </row>
    <row r="39" spans="1:19" x14ac:dyDescent="0.25">
      <c r="B39" s="4"/>
      <c r="C39" s="4"/>
      <c r="D39" s="52">
        <f>SUM(D3:D38)</f>
        <v>1260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ht="15" customHeight="1" x14ac:dyDescent="0.25">
      <c r="A41" s="6" t="s">
        <v>0</v>
      </c>
      <c r="B41" s="6" t="s">
        <v>1</v>
      </c>
      <c r="C41" s="6" t="s">
        <v>3</v>
      </c>
      <c r="D41" s="12" t="s">
        <v>2</v>
      </c>
      <c r="E41" s="6">
        <v>22</v>
      </c>
      <c r="F41" s="6">
        <v>22.5</v>
      </c>
      <c r="G41" s="6">
        <v>23</v>
      </c>
      <c r="H41" s="6">
        <v>23.5</v>
      </c>
      <c r="I41" s="6">
        <v>24</v>
      </c>
      <c r="J41" s="6">
        <v>24.5</v>
      </c>
      <c r="K41" s="6">
        <v>25</v>
      </c>
      <c r="L41" s="6">
        <v>25.5</v>
      </c>
      <c r="M41" s="6">
        <v>26</v>
      </c>
      <c r="N41" s="110" t="s">
        <v>233</v>
      </c>
      <c r="O41" s="111"/>
    </row>
    <row r="42" spans="1:19" x14ac:dyDescent="0.25">
      <c r="A42" s="1" t="s">
        <v>29</v>
      </c>
      <c r="B42" s="2">
        <v>780</v>
      </c>
      <c r="C42" s="2">
        <v>2401</v>
      </c>
      <c r="D42" s="2">
        <f>SUM(E42:M42)</f>
        <v>36</v>
      </c>
      <c r="E42" s="2">
        <v>3</v>
      </c>
      <c r="F42" s="2">
        <v>3</v>
      </c>
      <c r="G42" s="2">
        <v>6</v>
      </c>
      <c r="H42" s="2">
        <v>6</v>
      </c>
      <c r="I42" s="2">
        <v>6</v>
      </c>
      <c r="J42" s="2">
        <v>6</v>
      </c>
      <c r="K42" s="2">
        <v>6</v>
      </c>
      <c r="L42" s="2"/>
      <c r="M42" s="2"/>
      <c r="N42" s="86">
        <v>46217</v>
      </c>
      <c r="O42" s="87"/>
      <c r="P42" s="4"/>
      <c r="Q42" s="4"/>
      <c r="R42" s="4"/>
      <c r="S42" s="4"/>
    </row>
    <row r="43" spans="1:19" x14ac:dyDescent="0.25">
      <c r="A43" s="1" t="s">
        <v>29</v>
      </c>
      <c r="B43" s="2">
        <v>781</v>
      </c>
      <c r="C43" s="2">
        <v>2403</v>
      </c>
      <c r="D43" s="2">
        <f t="shared" ref="D43:D68" si="2">SUM(E43:M43)</f>
        <v>36</v>
      </c>
      <c r="E43" s="2">
        <v>3</v>
      </c>
      <c r="F43" s="2">
        <v>3</v>
      </c>
      <c r="G43" s="2">
        <v>6</v>
      </c>
      <c r="H43" s="2">
        <v>6</v>
      </c>
      <c r="I43" s="2">
        <v>6</v>
      </c>
      <c r="J43" s="2">
        <v>6</v>
      </c>
      <c r="K43" s="2">
        <v>6</v>
      </c>
      <c r="L43" s="2"/>
      <c r="M43" s="2"/>
      <c r="N43" s="86">
        <v>46217</v>
      </c>
      <c r="O43" s="87"/>
      <c r="P43" s="4"/>
      <c r="Q43" s="4"/>
      <c r="R43" s="4"/>
      <c r="S43" s="4"/>
    </row>
    <row r="44" spans="1:19" x14ac:dyDescent="0.25">
      <c r="A44" s="1" t="s">
        <v>29</v>
      </c>
      <c r="B44" s="2">
        <v>782</v>
      </c>
      <c r="C44" s="2">
        <v>2405</v>
      </c>
      <c r="D44" s="2">
        <f t="shared" si="2"/>
        <v>36</v>
      </c>
      <c r="E44" s="2">
        <v>3</v>
      </c>
      <c r="F44" s="2">
        <v>3</v>
      </c>
      <c r="G44" s="2">
        <v>6</v>
      </c>
      <c r="H44" s="2">
        <v>6</v>
      </c>
      <c r="I44" s="2">
        <v>6</v>
      </c>
      <c r="J44" s="2">
        <v>6</v>
      </c>
      <c r="K44" s="2">
        <v>6</v>
      </c>
      <c r="L44" s="2"/>
      <c r="M44" s="2"/>
      <c r="N44" s="86">
        <v>46217</v>
      </c>
      <c r="O44" s="87"/>
      <c r="P44" s="4"/>
      <c r="Q44" s="4"/>
      <c r="R44" s="4"/>
      <c r="S44" s="4"/>
    </row>
    <row r="45" spans="1:19" x14ac:dyDescent="0.25">
      <c r="A45" s="1" t="s">
        <v>68</v>
      </c>
      <c r="B45" s="2">
        <v>786</v>
      </c>
      <c r="C45" s="2">
        <v>9208</v>
      </c>
      <c r="D45" s="2">
        <f t="shared" si="2"/>
        <v>24</v>
      </c>
      <c r="E45" s="2">
        <v>2</v>
      </c>
      <c r="F45" s="2">
        <v>2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/>
      <c r="M45" s="2"/>
      <c r="N45" s="86">
        <v>46217</v>
      </c>
      <c r="O45" s="87"/>
      <c r="P45" s="4"/>
      <c r="Q45" s="4"/>
      <c r="R45" s="4"/>
      <c r="S45" s="4"/>
    </row>
    <row r="46" spans="1:19" x14ac:dyDescent="0.25">
      <c r="A46" s="1" t="s">
        <v>68</v>
      </c>
      <c r="B46" s="2">
        <v>787</v>
      </c>
      <c r="C46" s="2">
        <v>9231</v>
      </c>
      <c r="D46" s="2">
        <f t="shared" si="2"/>
        <v>24</v>
      </c>
      <c r="E46" s="2">
        <v>2</v>
      </c>
      <c r="F46" s="2">
        <v>2</v>
      </c>
      <c r="G46" s="2">
        <v>4</v>
      </c>
      <c r="H46" s="2">
        <v>4</v>
      </c>
      <c r="I46" s="2">
        <v>4</v>
      </c>
      <c r="J46" s="2">
        <v>4</v>
      </c>
      <c r="K46" s="2">
        <v>4</v>
      </c>
      <c r="L46" s="2"/>
      <c r="M46" s="2"/>
      <c r="N46" s="86">
        <v>46217</v>
      </c>
      <c r="O46" s="87"/>
      <c r="P46" s="4"/>
      <c r="Q46" s="4"/>
      <c r="R46" s="4"/>
      <c r="S46" s="4"/>
    </row>
    <row r="47" spans="1:19" x14ac:dyDescent="0.25">
      <c r="A47" s="1" t="s">
        <v>68</v>
      </c>
      <c r="B47" s="2">
        <v>788</v>
      </c>
      <c r="C47" s="2">
        <v>9231</v>
      </c>
      <c r="D47" s="2">
        <f t="shared" si="2"/>
        <v>24</v>
      </c>
      <c r="E47" s="2">
        <v>2</v>
      </c>
      <c r="F47" s="2">
        <v>2</v>
      </c>
      <c r="G47" s="2">
        <v>4</v>
      </c>
      <c r="H47" s="2">
        <v>4</v>
      </c>
      <c r="I47" s="2">
        <v>4</v>
      </c>
      <c r="J47" s="2">
        <v>4</v>
      </c>
      <c r="K47" s="2">
        <v>4</v>
      </c>
      <c r="L47" s="2"/>
      <c r="M47" s="2"/>
      <c r="N47" s="86">
        <v>46217</v>
      </c>
      <c r="O47" s="87"/>
      <c r="P47" s="4"/>
      <c r="Q47" s="4"/>
      <c r="R47" s="4"/>
      <c r="S47" s="4"/>
    </row>
    <row r="48" spans="1:19" x14ac:dyDescent="0.25">
      <c r="A48" s="7" t="s">
        <v>281</v>
      </c>
      <c r="B48" s="2">
        <v>799</v>
      </c>
      <c r="C48" s="2">
        <v>2604</v>
      </c>
      <c r="D48" s="2">
        <f t="shared" si="2"/>
        <v>8</v>
      </c>
      <c r="E48" s="1">
        <v>2</v>
      </c>
      <c r="F48" s="1"/>
      <c r="G48" s="1">
        <v>2</v>
      </c>
      <c r="H48" s="1"/>
      <c r="I48" s="1">
        <v>2</v>
      </c>
      <c r="J48" s="1"/>
      <c r="K48" s="1">
        <v>2</v>
      </c>
      <c r="L48" s="1"/>
      <c r="M48" s="1"/>
      <c r="N48" s="86">
        <v>46217</v>
      </c>
      <c r="O48" s="87"/>
      <c r="P48" s="4"/>
      <c r="Q48" s="4"/>
      <c r="R48" s="4"/>
      <c r="S48" s="4"/>
    </row>
    <row r="49" spans="1:19" x14ac:dyDescent="0.25">
      <c r="A49" s="7" t="s">
        <v>281</v>
      </c>
      <c r="B49" s="2">
        <v>800</v>
      </c>
      <c r="C49" s="2">
        <v>2603</v>
      </c>
      <c r="D49" s="2">
        <f t="shared" si="2"/>
        <v>8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/>
      <c r="N49" s="86">
        <v>46217</v>
      </c>
      <c r="O49" s="87"/>
      <c r="P49" s="4"/>
      <c r="Q49" s="4"/>
      <c r="R49" s="4"/>
      <c r="S49" s="4"/>
    </row>
    <row r="50" spans="1:19" x14ac:dyDescent="0.25">
      <c r="A50" s="7" t="s">
        <v>281</v>
      </c>
      <c r="B50" s="2">
        <v>801</v>
      </c>
      <c r="C50" s="2">
        <v>9280</v>
      </c>
      <c r="D50" s="2">
        <f t="shared" si="2"/>
        <v>8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/>
      <c r="N50" s="86">
        <v>46217</v>
      </c>
      <c r="O50" s="87"/>
      <c r="P50" s="4"/>
      <c r="Q50" s="4"/>
      <c r="R50" s="4"/>
      <c r="S50" s="4"/>
    </row>
    <row r="51" spans="1:19" x14ac:dyDescent="0.25">
      <c r="A51" s="7" t="s">
        <v>281</v>
      </c>
      <c r="B51" s="2">
        <v>802</v>
      </c>
      <c r="C51" s="2">
        <v>2404</v>
      </c>
      <c r="D51" s="2">
        <f t="shared" si="2"/>
        <v>16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/>
      <c r="N51" s="86">
        <v>46217</v>
      </c>
      <c r="O51" s="87"/>
      <c r="P51" s="4"/>
      <c r="Q51" s="4"/>
      <c r="R51" s="4"/>
      <c r="S51" s="4"/>
    </row>
    <row r="52" spans="1:19" x14ac:dyDescent="0.25">
      <c r="A52" s="7" t="s">
        <v>281</v>
      </c>
      <c r="B52" s="2">
        <v>803</v>
      </c>
      <c r="C52" s="2">
        <v>2403</v>
      </c>
      <c r="D52" s="2">
        <f t="shared" si="2"/>
        <v>16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/>
      <c r="N52" s="86">
        <v>46217</v>
      </c>
      <c r="O52" s="87"/>
      <c r="P52" s="4"/>
      <c r="Q52" s="4"/>
      <c r="R52" s="4"/>
      <c r="S52" s="4"/>
    </row>
    <row r="53" spans="1:19" x14ac:dyDescent="0.25">
      <c r="A53" s="7" t="s">
        <v>281</v>
      </c>
      <c r="B53" s="2">
        <v>804</v>
      </c>
      <c r="C53" s="2">
        <v>2406</v>
      </c>
      <c r="D53" s="2">
        <f t="shared" si="2"/>
        <v>16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/>
      <c r="N53" s="86">
        <v>46217</v>
      </c>
      <c r="O53" s="87"/>
      <c r="P53" s="4"/>
      <c r="Q53" s="4"/>
      <c r="R53" s="4"/>
      <c r="S53" s="4"/>
    </row>
    <row r="54" spans="1:19" x14ac:dyDescent="0.25">
      <c r="A54" s="7" t="s">
        <v>281</v>
      </c>
      <c r="B54" s="2">
        <v>805</v>
      </c>
      <c r="C54" s="2">
        <v>9219</v>
      </c>
      <c r="D54" s="2">
        <f t="shared" si="2"/>
        <v>8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/>
      <c r="N54" s="86">
        <v>46217</v>
      </c>
      <c r="O54" s="87"/>
      <c r="P54" s="4"/>
      <c r="Q54" s="4"/>
      <c r="R54" s="4"/>
      <c r="S54" s="4"/>
    </row>
    <row r="55" spans="1:19" x14ac:dyDescent="0.25">
      <c r="A55" s="7" t="s">
        <v>281</v>
      </c>
      <c r="B55" s="2">
        <v>806</v>
      </c>
      <c r="C55" s="2">
        <v>9232</v>
      </c>
      <c r="D55" s="2">
        <f t="shared" si="2"/>
        <v>8</v>
      </c>
      <c r="E55" s="1">
        <v>2</v>
      </c>
      <c r="F55" s="1"/>
      <c r="G55" s="1">
        <v>2</v>
      </c>
      <c r="H55" s="1"/>
      <c r="I55" s="1">
        <v>2</v>
      </c>
      <c r="J55" s="1"/>
      <c r="K55" s="1">
        <v>2</v>
      </c>
      <c r="L55" s="1"/>
      <c r="M55" s="1"/>
      <c r="N55" s="86">
        <v>46217</v>
      </c>
      <c r="O55" s="87"/>
      <c r="P55" s="4"/>
      <c r="Q55" s="4"/>
      <c r="R55" s="4"/>
      <c r="S55" s="4"/>
    </row>
    <row r="56" spans="1:19" x14ac:dyDescent="0.25">
      <c r="A56" s="7" t="s">
        <v>281</v>
      </c>
      <c r="B56" s="2">
        <v>807</v>
      </c>
      <c r="C56" s="2">
        <v>2407</v>
      </c>
      <c r="D56" s="2">
        <f t="shared" si="2"/>
        <v>16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/>
      <c r="N56" s="86">
        <v>46217</v>
      </c>
      <c r="O56" s="87"/>
      <c r="P56" s="4"/>
      <c r="Q56" s="4"/>
      <c r="R56" s="4"/>
      <c r="S56" s="4"/>
    </row>
    <row r="57" spans="1:19" x14ac:dyDescent="0.25">
      <c r="A57" s="7" t="s">
        <v>281</v>
      </c>
      <c r="B57" s="2">
        <v>808</v>
      </c>
      <c r="C57" s="2">
        <v>9201</v>
      </c>
      <c r="D57" s="2">
        <f t="shared" si="2"/>
        <v>16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/>
      <c r="N57" s="86">
        <v>46217</v>
      </c>
      <c r="O57" s="87"/>
      <c r="P57" s="4"/>
      <c r="Q57" s="4"/>
      <c r="R57" s="4"/>
      <c r="S57" s="4"/>
    </row>
    <row r="58" spans="1:19" x14ac:dyDescent="0.25">
      <c r="A58" s="7" t="s">
        <v>281</v>
      </c>
      <c r="B58" s="2">
        <v>809</v>
      </c>
      <c r="C58" s="2">
        <v>9267</v>
      </c>
      <c r="D58" s="2">
        <f t="shared" si="2"/>
        <v>16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/>
      <c r="N58" s="86">
        <v>46217</v>
      </c>
      <c r="O58" s="87"/>
      <c r="P58" s="4"/>
      <c r="Q58" s="4"/>
      <c r="R58" s="4"/>
      <c r="S58" s="4"/>
    </row>
    <row r="59" spans="1:19" x14ac:dyDescent="0.25">
      <c r="A59" s="7" t="s">
        <v>281</v>
      </c>
      <c r="B59" s="2">
        <v>810</v>
      </c>
      <c r="C59" s="2">
        <v>9214</v>
      </c>
      <c r="D59" s="2">
        <f t="shared" si="2"/>
        <v>8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/>
      <c r="N59" s="86">
        <v>46217</v>
      </c>
      <c r="O59" s="87"/>
      <c r="P59" s="4"/>
      <c r="Q59" s="4"/>
      <c r="R59" s="4"/>
      <c r="S59" s="4"/>
    </row>
    <row r="60" spans="1:19" x14ac:dyDescent="0.25">
      <c r="A60" s="7" t="s">
        <v>276</v>
      </c>
      <c r="B60" s="2">
        <v>811</v>
      </c>
      <c r="C60" s="2">
        <v>2403</v>
      </c>
      <c r="D60" s="2">
        <f t="shared" si="2"/>
        <v>30</v>
      </c>
      <c r="E60" s="1">
        <v>3</v>
      </c>
      <c r="F60" s="1">
        <v>3</v>
      </c>
      <c r="G60" s="1">
        <v>5</v>
      </c>
      <c r="H60" s="1">
        <v>5</v>
      </c>
      <c r="I60" s="1">
        <v>5</v>
      </c>
      <c r="J60" s="1">
        <v>5</v>
      </c>
      <c r="K60" s="1">
        <v>4</v>
      </c>
      <c r="L60" s="1"/>
      <c r="M60" s="1"/>
      <c r="N60" s="86">
        <v>46217</v>
      </c>
      <c r="O60" s="87"/>
      <c r="P60" s="4"/>
      <c r="Q60" s="4"/>
      <c r="R60" s="4"/>
      <c r="S60" s="4"/>
    </row>
    <row r="61" spans="1:19" x14ac:dyDescent="0.25">
      <c r="A61" s="7" t="s">
        <v>276</v>
      </c>
      <c r="B61" s="2">
        <v>812</v>
      </c>
      <c r="C61" s="2">
        <v>1002</v>
      </c>
      <c r="D61" s="2">
        <f t="shared" si="2"/>
        <v>30</v>
      </c>
      <c r="E61" s="1">
        <v>3</v>
      </c>
      <c r="F61" s="1">
        <v>3</v>
      </c>
      <c r="G61" s="1">
        <v>5</v>
      </c>
      <c r="H61" s="1">
        <v>5</v>
      </c>
      <c r="I61" s="1">
        <v>5</v>
      </c>
      <c r="J61" s="1">
        <v>5</v>
      </c>
      <c r="K61" s="1">
        <v>4</v>
      </c>
      <c r="L61" s="1"/>
      <c r="M61" s="1"/>
      <c r="N61" s="86">
        <v>46217</v>
      </c>
      <c r="O61" s="87"/>
      <c r="P61" s="4"/>
      <c r="Q61" s="4"/>
      <c r="R61" s="4"/>
      <c r="S61" s="4"/>
    </row>
    <row r="62" spans="1:19" x14ac:dyDescent="0.25">
      <c r="A62" s="7" t="s">
        <v>276</v>
      </c>
      <c r="B62" s="2">
        <v>813</v>
      </c>
      <c r="C62" s="2">
        <v>1022</v>
      </c>
      <c r="D62" s="2">
        <f t="shared" si="2"/>
        <v>30</v>
      </c>
      <c r="E62" s="1">
        <v>3</v>
      </c>
      <c r="F62" s="1">
        <v>3</v>
      </c>
      <c r="G62" s="1">
        <v>5</v>
      </c>
      <c r="H62" s="1">
        <v>5</v>
      </c>
      <c r="I62" s="1">
        <v>5</v>
      </c>
      <c r="J62" s="1">
        <v>5</v>
      </c>
      <c r="K62" s="1">
        <v>4</v>
      </c>
      <c r="L62" s="1"/>
      <c r="M62" s="1"/>
      <c r="N62" s="86">
        <v>46217</v>
      </c>
      <c r="O62" s="87"/>
      <c r="P62" s="4"/>
      <c r="Q62" s="4"/>
      <c r="R62" s="4"/>
      <c r="S62" s="4"/>
    </row>
    <row r="63" spans="1:19" x14ac:dyDescent="0.25">
      <c r="A63" s="7" t="s">
        <v>276</v>
      </c>
      <c r="B63" s="2">
        <v>814</v>
      </c>
      <c r="C63" s="2">
        <v>2435</v>
      </c>
      <c r="D63" s="2">
        <f t="shared" si="2"/>
        <v>30</v>
      </c>
      <c r="E63" s="1">
        <v>3</v>
      </c>
      <c r="F63" s="1">
        <v>3</v>
      </c>
      <c r="G63" s="1">
        <v>5</v>
      </c>
      <c r="H63" s="1">
        <v>5</v>
      </c>
      <c r="I63" s="1">
        <v>5</v>
      </c>
      <c r="J63" s="1">
        <v>5</v>
      </c>
      <c r="K63" s="1">
        <v>4</v>
      </c>
      <c r="L63" s="1"/>
      <c r="M63" s="1"/>
      <c r="N63" s="86">
        <v>46217</v>
      </c>
      <c r="O63" s="87"/>
      <c r="P63" s="4"/>
      <c r="Q63" s="4"/>
      <c r="R63" s="4"/>
      <c r="S63" s="4"/>
    </row>
    <row r="64" spans="1:19" x14ac:dyDescent="0.25">
      <c r="A64" s="7" t="s">
        <v>276</v>
      </c>
      <c r="B64" s="2">
        <v>815</v>
      </c>
      <c r="C64" s="2">
        <v>9205</v>
      </c>
      <c r="D64" s="2">
        <f t="shared" si="2"/>
        <v>40</v>
      </c>
      <c r="E64" s="1">
        <v>2</v>
      </c>
      <c r="F64" s="1">
        <v>2</v>
      </c>
      <c r="G64" s="1">
        <v>8</v>
      </c>
      <c r="H64" s="1">
        <v>8</v>
      </c>
      <c r="I64" s="1">
        <v>8</v>
      </c>
      <c r="J64" s="1">
        <v>8</v>
      </c>
      <c r="K64" s="1">
        <v>4</v>
      </c>
      <c r="L64" s="1"/>
      <c r="M64" s="1"/>
      <c r="N64" s="86">
        <v>46217</v>
      </c>
      <c r="O64" s="87"/>
      <c r="P64" s="4"/>
      <c r="Q64" s="4"/>
      <c r="R64" s="4"/>
      <c r="S64" s="4"/>
    </row>
    <row r="65" spans="1:19" x14ac:dyDescent="0.25">
      <c r="A65" s="7" t="s">
        <v>96</v>
      </c>
      <c r="B65" s="2">
        <v>816</v>
      </c>
      <c r="C65" s="2">
        <v>9205</v>
      </c>
      <c r="D65" s="2">
        <f t="shared" si="2"/>
        <v>40</v>
      </c>
      <c r="E65" s="1">
        <v>2</v>
      </c>
      <c r="F65" s="1">
        <v>2</v>
      </c>
      <c r="G65" s="1">
        <v>8</v>
      </c>
      <c r="H65" s="1">
        <v>8</v>
      </c>
      <c r="I65" s="1">
        <v>8</v>
      </c>
      <c r="J65" s="1">
        <v>8</v>
      </c>
      <c r="K65" s="1">
        <v>4</v>
      </c>
      <c r="L65" s="1"/>
      <c r="M65" s="1"/>
      <c r="N65" s="86">
        <v>46217</v>
      </c>
      <c r="O65" s="87"/>
      <c r="P65" s="4"/>
      <c r="Q65" s="4"/>
      <c r="R65" s="4"/>
      <c r="S65" s="4"/>
    </row>
    <row r="66" spans="1:19" x14ac:dyDescent="0.25">
      <c r="A66" s="7" t="s">
        <v>96</v>
      </c>
      <c r="B66" s="2">
        <v>817</v>
      </c>
      <c r="C66" s="2">
        <v>9201</v>
      </c>
      <c r="D66" s="2">
        <f t="shared" si="2"/>
        <v>40</v>
      </c>
      <c r="E66" s="1">
        <v>2</v>
      </c>
      <c r="F66" s="1">
        <v>2</v>
      </c>
      <c r="G66" s="1">
        <v>8</v>
      </c>
      <c r="H66" s="1">
        <v>8</v>
      </c>
      <c r="I66" s="1">
        <v>8</v>
      </c>
      <c r="J66" s="1">
        <v>8</v>
      </c>
      <c r="K66" s="1">
        <v>4</v>
      </c>
      <c r="L66" s="1"/>
      <c r="M66" s="1"/>
      <c r="N66" s="86">
        <v>46217</v>
      </c>
      <c r="O66" s="87"/>
      <c r="P66" s="4"/>
      <c r="Q66" s="4"/>
      <c r="R66" s="4"/>
      <c r="S66" s="4"/>
    </row>
    <row r="67" spans="1:19" x14ac:dyDescent="0.25">
      <c r="A67" s="7" t="s">
        <v>96</v>
      </c>
      <c r="B67" s="2">
        <v>818</v>
      </c>
      <c r="C67" s="2">
        <v>9218</v>
      </c>
      <c r="D67" s="2">
        <f t="shared" si="2"/>
        <v>40</v>
      </c>
      <c r="E67" s="1">
        <v>2</v>
      </c>
      <c r="F67" s="1">
        <v>2</v>
      </c>
      <c r="G67" s="1">
        <v>8</v>
      </c>
      <c r="H67" s="1">
        <v>8</v>
      </c>
      <c r="I67" s="1">
        <v>8</v>
      </c>
      <c r="J67" s="1">
        <v>8</v>
      </c>
      <c r="K67" s="1">
        <v>4</v>
      </c>
      <c r="L67" s="1"/>
      <c r="M67" s="1"/>
      <c r="N67" s="86">
        <v>46217</v>
      </c>
      <c r="O67" s="87"/>
      <c r="P67" s="4"/>
      <c r="Q67" s="4"/>
      <c r="R67" s="4"/>
      <c r="S67" s="4"/>
    </row>
    <row r="68" spans="1:19" x14ac:dyDescent="0.25">
      <c r="A68" s="7" t="s">
        <v>96</v>
      </c>
      <c r="B68" s="2">
        <v>819</v>
      </c>
      <c r="C68" s="2">
        <v>9227</v>
      </c>
      <c r="D68" s="2">
        <f t="shared" si="2"/>
        <v>40</v>
      </c>
      <c r="E68" s="1">
        <v>2</v>
      </c>
      <c r="F68" s="1">
        <v>2</v>
      </c>
      <c r="G68" s="1">
        <v>8</v>
      </c>
      <c r="H68" s="1">
        <v>8</v>
      </c>
      <c r="I68" s="1">
        <v>8</v>
      </c>
      <c r="J68" s="1">
        <v>8</v>
      </c>
      <c r="K68" s="1">
        <v>4</v>
      </c>
      <c r="L68" s="1"/>
      <c r="M68" s="1"/>
      <c r="N68" s="86">
        <v>46217</v>
      </c>
      <c r="O68" s="87"/>
      <c r="P68" s="4"/>
      <c r="Q68" s="4"/>
      <c r="R68" s="4"/>
      <c r="S68" s="4"/>
    </row>
    <row r="69" spans="1:19" x14ac:dyDescent="0.25">
      <c r="B69" s="4"/>
      <c r="C69" s="4"/>
      <c r="D69" s="52">
        <f>SUM(D42:D68)</f>
        <v>644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 x14ac:dyDescent="0.25">
      <c r="B70" s="4"/>
      <c r="C70" s="53">
        <f>D69+D39</f>
        <v>1904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x14ac:dyDescent="0.2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 x14ac:dyDescent="0.2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2:19" x14ac:dyDescent="0.2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2:19" x14ac:dyDescent="0.2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2:19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2:19" x14ac:dyDescent="0.2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2:19" x14ac:dyDescent="0.2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2:19" x14ac:dyDescent="0.2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2:19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2:19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2:19" x14ac:dyDescent="0.2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2:19" x14ac:dyDescent="0.2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2:19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2:19" x14ac:dyDescent="0.2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2:19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2:19" x14ac:dyDescent="0.2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2:19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2:19" x14ac:dyDescent="0.2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2:19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2:19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2:19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2:19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2:19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2:19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2:19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2:19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2:19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2:19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2:19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2:19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2:19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2:19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2:19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2:19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2:19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2:19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2:19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2:19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2:19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2:19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2:19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2:19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2:19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2:19" x14ac:dyDescent="0.2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2:19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2:19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2:19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2:19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2:19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2:19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2:19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2:19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2:19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2:19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2:19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2:19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2:19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spans="2:19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2:19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spans="2:19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spans="2:19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2:19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2:19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2:19" x14ac:dyDescent="0.2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2:19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2:19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2:19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2:19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2:19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2:19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2:19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2:19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2:19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2:19" x14ac:dyDescent="0.2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2:19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2:19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2:19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2:19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2:19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2:19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2:19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2:19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2:19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2:19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2:19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2:19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2:19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2:19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2:19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2:19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2:19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2:19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2:19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2:19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2:19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2:19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2:19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2:19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2:19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2:19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2:19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2:19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2:19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2:19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2:19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2:19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spans="2:19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2:19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2:19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spans="2:19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spans="2:19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2:19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spans="2:19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spans="2:19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spans="2:19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spans="2:19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spans="2:19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spans="2:19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spans="2:19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spans="2:19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spans="2:19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spans="2:19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spans="2:19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spans="2:19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spans="2:19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spans="2:19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spans="2:19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spans="2:19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spans="2:19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spans="2:19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spans="2:19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spans="2:19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spans="2:19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spans="2:19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spans="2:19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spans="2:19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spans="2:19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spans="2:19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spans="2:19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spans="2:19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spans="2:19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spans="2:19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spans="2:19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spans="2:19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spans="2:19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spans="2:19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spans="2:19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2:19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spans="2:19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spans="2:19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spans="2:19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spans="2:19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spans="2:19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2:19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2:19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2:19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spans="2:19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spans="2:19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spans="2:19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spans="2:19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spans="2:19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spans="2:19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spans="2:19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spans="2:19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spans="2:19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spans="2:19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spans="2:19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spans="2:19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spans="2:19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spans="2:19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spans="2:19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spans="2:19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spans="2:19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spans="2:19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spans="2:19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spans="2:19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spans="2:19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spans="2:19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spans="2:19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spans="2:19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spans="2:19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spans="2:19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spans="2:19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spans="2:19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spans="2:19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spans="2:19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spans="2:19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spans="2:19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spans="2:19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spans="2:19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spans="2:19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spans="2:19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spans="2:19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spans="2:19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spans="2:19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spans="2:19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spans="2:19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spans="2:19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spans="2:19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spans="2:19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spans="2:19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spans="2:19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spans="2:19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spans="2:19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spans="2:19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spans="2:19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spans="2:19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spans="2:19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spans="2:19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spans="2:19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spans="2:19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spans="2:19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spans="2:19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spans="2:19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spans="2:19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spans="2:19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spans="2:19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spans="2:19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spans="2:19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spans="2:19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spans="2:19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spans="2:19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spans="2:19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spans="2:19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spans="2:19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spans="2:19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spans="2:19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spans="2:19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spans="2:19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spans="2:19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spans="2:19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spans="2:19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spans="2:19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spans="2:19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spans="2:19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spans="2:19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spans="2:19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spans="2:19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spans="2:19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spans="2:19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spans="2:19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spans="2:19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spans="2:19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spans="2:19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spans="2:19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spans="2:19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spans="2:19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spans="2:19" x14ac:dyDescent="0.2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spans="2:19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spans="2:19" x14ac:dyDescent="0.25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spans="2:19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spans="2:19" x14ac:dyDescent="0.25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spans="2:19" x14ac:dyDescent="0.2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spans="2:19" x14ac:dyDescent="0.25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spans="2:19" x14ac:dyDescent="0.2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spans="2:19" x14ac:dyDescent="0.2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spans="2:19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spans="2:19" x14ac:dyDescent="0.2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spans="2:19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spans="2:19" x14ac:dyDescent="0.2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spans="2:19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spans="2:19" x14ac:dyDescent="0.2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spans="2:19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spans="2:19" x14ac:dyDescent="0.2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spans="2:19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spans="2:19" x14ac:dyDescent="0.2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spans="2:19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spans="2:19" x14ac:dyDescent="0.2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spans="2:19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spans="2:19" x14ac:dyDescent="0.2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spans="2:19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spans="2:19" x14ac:dyDescent="0.2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spans="2:19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spans="2:19" x14ac:dyDescent="0.2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spans="2:19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spans="2:19" x14ac:dyDescent="0.2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spans="2:19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spans="2:19" x14ac:dyDescent="0.2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spans="2:19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spans="2:19" x14ac:dyDescent="0.2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spans="2:19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spans="2:19" x14ac:dyDescent="0.2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spans="2:19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spans="2:19" x14ac:dyDescent="0.2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spans="2:19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spans="2:19" x14ac:dyDescent="0.2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spans="2:19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spans="2:19" x14ac:dyDescent="0.2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spans="2:19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spans="2:19" x14ac:dyDescent="0.2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spans="2:19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spans="2:19" x14ac:dyDescent="0.2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spans="2:19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spans="2:19" x14ac:dyDescent="0.2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spans="2:19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spans="2:19" x14ac:dyDescent="0.2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spans="2:19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spans="2:19" x14ac:dyDescent="0.2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spans="2:19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spans="2:19" x14ac:dyDescent="0.2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spans="2:19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spans="2:19" x14ac:dyDescent="0.2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spans="2:19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spans="2:19" x14ac:dyDescent="0.2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spans="2:19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spans="2:19" x14ac:dyDescent="0.2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spans="2:19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spans="2:19" x14ac:dyDescent="0.2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spans="2:19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spans="2:19" x14ac:dyDescent="0.2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spans="2:19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spans="2:19" x14ac:dyDescent="0.2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spans="2:19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spans="2:19" x14ac:dyDescent="0.2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spans="2:19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spans="2:19" x14ac:dyDescent="0.2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spans="2:19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spans="2:19" x14ac:dyDescent="0.25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spans="2:19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spans="2:19" x14ac:dyDescent="0.25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spans="2:19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spans="2:19" x14ac:dyDescent="0.2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spans="2:19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spans="2:19" x14ac:dyDescent="0.2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spans="2:19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spans="2:19" x14ac:dyDescent="0.2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spans="2:19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spans="2:19" x14ac:dyDescent="0.2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spans="2:19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spans="2:19" x14ac:dyDescent="0.2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spans="2:19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spans="2:19" x14ac:dyDescent="0.2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spans="2:19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spans="2:19" x14ac:dyDescent="0.2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spans="2:19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spans="2:19" x14ac:dyDescent="0.2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spans="2:19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spans="2:19" x14ac:dyDescent="0.25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spans="2:19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spans="2:19" x14ac:dyDescent="0.25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spans="2:19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spans="2:19" x14ac:dyDescent="0.25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spans="2:19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spans="2:19" x14ac:dyDescent="0.25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spans="2:19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spans="2:19" x14ac:dyDescent="0.25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spans="2:19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spans="2:19" x14ac:dyDescent="0.25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spans="2:19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spans="2:19" x14ac:dyDescent="0.25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spans="2:19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spans="2:19" x14ac:dyDescent="0.2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spans="2:19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spans="2:19" x14ac:dyDescent="0.25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spans="2:19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spans="2:19" x14ac:dyDescent="0.25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spans="2:19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spans="2:19" x14ac:dyDescent="0.25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spans="2:19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spans="2:19" x14ac:dyDescent="0.2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spans="2:19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spans="2:19" x14ac:dyDescent="0.25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spans="2:19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spans="2:19" x14ac:dyDescent="0.25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spans="2:19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spans="2:19" x14ac:dyDescent="0.25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spans="2:19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spans="2:19" x14ac:dyDescent="0.2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spans="2:19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spans="2:19" x14ac:dyDescent="0.2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spans="2:19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spans="2:19" x14ac:dyDescent="0.2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spans="2:19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spans="2:19" x14ac:dyDescent="0.2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spans="2:19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spans="2:19" x14ac:dyDescent="0.2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spans="2:19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spans="2:19" x14ac:dyDescent="0.2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spans="2:19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spans="2:19" x14ac:dyDescent="0.2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spans="2:19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spans="2:19" x14ac:dyDescent="0.25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spans="2:19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spans="2:19" x14ac:dyDescent="0.25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spans="2:19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spans="2:19" x14ac:dyDescent="0.25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spans="2:19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spans="2:19" x14ac:dyDescent="0.25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spans="2:19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spans="2:19" x14ac:dyDescent="0.25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spans="2:19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spans="2:19" x14ac:dyDescent="0.25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spans="2:19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spans="2:19" x14ac:dyDescent="0.2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spans="2:19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spans="2:19" x14ac:dyDescent="0.2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spans="2:19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spans="2:19" x14ac:dyDescent="0.2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spans="2:19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spans="2:19" x14ac:dyDescent="0.25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spans="2:19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spans="2:19" x14ac:dyDescent="0.25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spans="2:19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spans="2:19" x14ac:dyDescent="0.25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spans="2:19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spans="2:19" x14ac:dyDescent="0.25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spans="2:19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spans="2:19" x14ac:dyDescent="0.25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spans="2:19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spans="2:19" x14ac:dyDescent="0.25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spans="2:19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spans="2:19" x14ac:dyDescent="0.25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spans="2:19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spans="2:19" x14ac:dyDescent="0.25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spans="2:19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spans="2:19" x14ac:dyDescent="0.25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spans="2:19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spans="2:19" x14ac:dyDescent="0.25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spans="2:19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spans="2:19" x14ac:dyDescent="0.25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spans="2:19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spans="2:19" x14ac:dyDescent="0.25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spans="2:19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spans="2:19" x14ac:dyDescent="0.25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spans="2:19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spans="2:19" x14ac:dyDescent="0.2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spans="2:19" x14ac:dyDescent="0.2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spans="2:19" x14ac:dyDescent="0.25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spans="2:19" x14ac:dyDescent="0.25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spans="2:19" x14ac:dyDescent="0.25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spans="2:19" x14ac:dyDescent="0.25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spans="2:19" x14ac:dyDescent="0.25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spans="2:19" x14ac:dyDescent="0.25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spans="2:19" x14ac:dyDescent="0.2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spans="2:19" x14ac:dyDescent="0.2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spans="2:19" x14ac:dyDescent="0.25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spans="2:19" x14ac:dyDescent="0.2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spans="2:19" x14ac:dyDescent="0.25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spans="2:19" x14ac:dyDescent="0.2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spans="2:19" x14ac:dyDescent="0.25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spans="2:19" x14ac:dyDescent="0.25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spans="2:19" x14ac:dyDescent="0.2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spans="2:19" x14ac:dyDescent="0.25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spans="2:19" x14ac:dyDescent="0.25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spans="2:19" x14ac:dyDescent="0.25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spans="2:19" x14ac:dyDescent="0.25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spans="2:19" x14ac:dyDescent="0.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spans="2:19" x14ac:dyDescent="0.25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spans="2:19" x14ac:dyDescent="0.25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spans="2:19" x14ac:dyDescent="0.25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spans="2:19" x14ac:dyDescent="0.25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spans="2:19" x14ac:dyDescent="0.25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spans="2:19" x14ac:dyDescent="0.25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spans="2:19" x14ac:dyDescent="0.25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spans="2:19" x14ac:dyDescent="0.25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spans="2:19" x14ac:dyDescent="0.25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spans="2:19" x14ac:dyDescent="0.2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spans="2:19" x14ac:dyDescent="0.25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spans="2:19" x14ac:dyDescent="0.25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spans="2:19" x14ac:dyDescent="0.25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spans="2:19" x14ac:dyDescent="0.2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spans="2:19" x14ac:dyDescent="0.2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spans="2:19" x14ac:dyDescent="0.2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spans="2:19" x14ac:dyDescent="0.2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spans="2:19" x14ac:dyDescent="0.2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spans="2:19" x14ac:dyDescent="0.2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spans="2:19" x14ac:dyDescent="0.2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spans="2:19" x14ac:dyDescent="0.2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spans="2:19" x14ac:dyDescent="0.2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spans="2:19" x14ac:dyDescent="0.2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spans="2:19" x14ac:dyDescent="0.2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spans="2:19" x14ac:dyDescent="0.2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spans="2:19" x14ac:dyDescent="0.2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spans="2:19" x14ac:dyDescent="0.2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spans="2:19" x14ac:dyDescent="0.2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spans="2:19" x14ac:dyDescent="0.2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spans="2:19" x14ac:dyDescent="0.2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spans="2:19" x14ac:dyDescent="0.2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spans="2:19" x14ac:dyDescent="0.2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spans="2:19" x14ac:dyDescent="0.2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spans="2:19" x14ac:dyDescent="0.2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spans="2:19" x14ac:dyDescent="0.2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spans="2:19" x14ac:dyDescent="0.2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spans="2:19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spans="2:19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spans="2:19" x14ac:dyDescent="0.2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spans="2:19" x14ac:dyDescent="0.2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spans="2:19" x14ac:dyDescent="0.2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spans="2:19" x14ac:dyDescent="0.2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spans="2:19" x14ac:dyDescent="0.2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spans="2:19" x14ac:dyDescent="0.2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spans="2:19" x14ac:dyDescent="0.2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spans="2:19" x14ac:dyDescent="0.2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spans="2:19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spans="2:19" x14ac:dyDescent="0.2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spans="2:19" x14ac:dyDescent="0.2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spans="2:19" x14ac:dyDescent="0.2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spans="2:19" x14ac:dyDescent="0.2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spans="2:19" x14ac:dyDescent="0.2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spans="2:19" x14ac:dyDescent="0.2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spans="2:19" x14ac:dyDescent="0.2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spans="2:19" x14ac:dyDescent="0.2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spans="2:19" x14ac:dyDescent="0.2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spans="2:19" x14ac:dyDescent="0.2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spans="2:19" x14ac:dyDescent="0.2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spans="2:19" x14ac:dyDescent="0.2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spans="2:19" x14ac:dyDescent="0.2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spans="2:19" x14ac:dyDescent="0.2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spans="2:19" x14ac:dyDescent="0.2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spans="2:19" x14ac:dyDescent="0.2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spans="2:19" x14ac:dyDescent="0.2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spans="2:19" x14ac:dyDescent="0.2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spans="2:19" x14ac:dyDescent="0.2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spans="2:19" x14ac:dyDescent="0.2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spans="2:19" x14ac:dyDescent="0.2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spans="2:19" x14ac:dyDescent="0.2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spans="2:19" x14ac:dyDescent="0.2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spans="2:19" x14ac:dyDescent="0.2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spans="2:19" x14ac:dyDescent="0.2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spans="2:19" x14ac:dyDescent="0.2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spans="2:19" x14ac:dyDescent="0.2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spans="2:19" x14ac:dyDescent="0.2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spans="2:19" x14ac:dyDescent="0.2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spans="2:19" x14ac:dyDescent="0.2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spans="2:19" x14ac:dyDescent="0.2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spans="2:19" x14ac:dyDescent="0.2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spans="2:19" x14ac:dyDescent="0.2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spans="2:19" x14ac:dyDescent="0.2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spans="2:19" x14ac:dyDescent="0.2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spans="2:19" x14ac:dyDescent="0.2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spans="2:19" x14ac:dyDescent="0.2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spans="2:19" x14ac:dyDescent="0.2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spans="2:19" x14ac:dyDescent="0.2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spans="2:19" x14ac:dyDescent="0.2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spans="2:19" x14ac:dyDescent="0.2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spans="2:19" x14ac:dyDescent="0.2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spans="2:19" x14ac:dyDescent="0.2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spans="2:19" x14ac:dyDescent="0.2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spans="2:19" x14ac:dyDescent="0.2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spans="2:19" x14ac:dyDescent="0.2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spans="2:19" x14ac:dyDescent="0.2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spans="2:19" x14ac:dyDescent="0.2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spans="2:19" x14ac:dyDescent="0.2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spans="2:19" x14ac:dyDescent="0.2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spans="2:19" x14ac:dyDescent="0.2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spans="2:19" x14ac:dyDescent="0.2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spans="2:19" x14ac:dyDescent="0.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spans="2:19" x14ac:dyDescent="0.2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spans="2:19" x14ac:dyDescent="0.2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spans="2:19" x14ac:dyDescent="0.2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spans="2:19" x14ac:dyDescent="0.2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spans="2:19" x14ac:dyDescent="0.2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spans="2:19" x14ac:dyDescent="0.2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spans="2:19" x14ac:dyDescent="0.2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spans="2:19" x14ac:dyDescent="0.2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spans="2:19" x14ac:dyDescent="0.2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spans="2:19" x14ac:dyDescent="0.2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spans="2:19" x14ac:dyDescent="0.2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spans="2:19" x14ac:dyDescent="0.2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spans="2:19" x14ac:dyDescent="0.2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spans="2:19" x14ac:dyDescent="0.2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spans="2:19" x14ac:dyDescent="0.2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spans="2:19" x14ac:dyDescent="0.2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spans="2:19" x14ac:dyDescent="0.2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spans="2:19" x14ac:dyDescent="0.2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spans="2:19" x14ac:dyDescent="0.2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spans="2:19" x14ac:dyDescent="0.2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spans="2:19" x14ac:dyDescent="0.2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spans="2:19" x14ac:dyDescent="0.2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spans="2:19" x14ac:dyDescent="0.2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spans="2:19" x14ac:dyDescent="0.2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spans="2:19" x14ac:dyDescent="0.2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spans="2:19" x14ac:dyDescent="0.25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spans="2:19" x14ac:dyDescent="0.25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spans="2:19" x14ac:dyDescent="0.25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spans="2:19" x14ac:dyDescent="0.25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spans="2:19" x14ac:dyDescent="0.2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spans="2:19" x14ac:dyDescent="0.25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spans="2:19" x14ac:dyDescent="0.25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spans="2:19" x14ac:dyDescent="0.25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spans="2:19" x14ac:dyDescent="0.25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spans="2:19" x14ac:dyDescent="0.25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spans="2:19" x14ac:dyDescent="0.25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spans="2:19" x14ac:dyDescent="0.25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spans="2:19" x14ac:dyDescent="0.25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spans="2:19" x14ac:dyDescent="0.25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spans="2:19" x14ac:dyDescent="0.2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spans="2:19" x14ac:dyDescent="0.25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spans="2:19" x14ac:dyDescent="0.25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spans="2:19" x14ac:dyDescent="0.25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spans="2:19" x14ac:dyDescent="0.25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spans="2:19" x14ac:dyDescent="0.25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spans="2:19" x14ac:dyDescent="0.25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spans="2:19" x14ac:dyDescent="0.25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spans="2:19" x14ac:dyDescent="0.25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spans="2:19" x14ac:dyDescent="0.25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spans="2:19" x14ac:dyDescent="0.2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spans="2:19" x14ac:dyDescent="0.25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spans="2:19" x14ac:dyDescent="0.25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spans="2:19" x14ac:dyDescent="0.25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spans="2:19" x14ac:dyDescent="0.25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spans="2:19" x14ac:dyDescent="0.25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spans="2:19" x14ac:dyDescent="0.25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spans="2:19" x14ac:dyDescent="0.25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spans="2:19" x14ac:dyDescent="0.25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spans="2:19" x14ac:dyDescent="0.25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spans="2:19" x14ac:dyDescent="0.2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spans="2:19" x14ac:dyDescent="0.25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spans="2:19" x14ac:dyDescent="0.25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spans="2:19" x14ac:dyDescent="0.25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spans="2:19" x14ac:dyDescent="0.25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spans="2:19" x14ac:dyDescent="0.25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spans="2:19" x14ac:dyDescent="0.25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spans="2:19" x14ac:dyDescent="0.25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spans="2:19" x14ac:dyDescent="0.25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spans="2:19" x14ac:dyDescent="0.25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spans="2:19" x14ac:dyDescent="0.2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spans="2:19" x14ac:dyDescent="0.25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spans="2:19" x14ac:dyDescent="0.25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spans="2:19" x14ac:dyDescent="0.25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spans="2:19" x14ac:dyDescent="0.25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spans="2:19" x14ac:dyDescent="0.25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spans="2:19" x14ac:dyDescent="0.25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spans="2:19" x14ac:dyDescent="0.25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spans="2:19" x14ac:dyDescent="0.25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spans="2:19" x14ac:dyDescent="0.25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spans="2:19" x14ac:dyDescent="0.2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spans="2:19" x14ac:dyDescent="0.25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spans="2:19" x14ac:dyDescent="0.25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spans="2:19" x14ac:dyDescent="0.25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spans="2:19" x14ac:dyDescent="0.25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spans="2:19" x14ac:dyDescent="0.25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spans="2:19" x14ac:dyDescent="0.25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spans="2:19" x14ac:dyDescent="0.25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spans="2:19" x14ac:dyDescent="0.25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spans="2:19" x14ac:dyDescent="0.25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spans="2:19" x14ac:dyDescent="0.2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spans="2:19" x14ac:dyDescent="0.25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spans="2:19" x14ac:dyDescent="0.25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spans="2:19" x14ac:dyDescent="0.25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spans="2:19" x14ac:dyDescent="0.25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spans="2:19" x14ac:dyDescent="0.25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spans="2:19" x14ac:dyDescent="0.25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spans="2:19" x14ac:dyDescent="0.25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spans="2:19" x14ac:dyDescent="0.25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spans="2:19" x14ac:dyDescent="0.25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spans="2:19" x14ac:dyDescent="0.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spans="2:19" x14ac:dyDescent="0.25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spans="2:19" x14ac:dyDescent="0.25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spans="2:19" x14ac:dyDescent="0.25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spans="2:19" x14ac:dyDescent="0.25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spans="2:19" x14ac:dyDescent="0.25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spans="2:19" x14ac:dyDescent="0.25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spans="2:19" x14ac:dyDescent="0.25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spans="2:19" x14ac:dyDescent="0.25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spans="2:19" x14ac:dyDescent="0.25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spans="2:19" x14ac:dyDescent="0.2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</sheetData>
  <mergeCells count="31">
    <mergeCell ref="N47:O47"/>
    <mergeCell ref="A1:D1"/>
    <mergeCell ref="E1:R1"/>
    <mergeCell ref="S1:S2"/>
    <mergeCell ref="N41:O41"/>
    <mergeCell ref="N42:O42"/>
    <mergeCell ref="N43:O43"/>
    <mergeCell ref="N44:O44"/>
    <mergeCell ref="N45:O45"/>
    <mergeCell ref="N46:O46"/>
    <mergeCell ref="N59:O59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66:O66"/>
    <mergeCell ref="N67:O67"/>
    <mergeCell ref="N68:O68"/>
    <mergeCell ref="N60:O60"/>
    <mergeCell ref="N61:O61"/>
    <mergeCell ref="N62:O62"/>
    <mergeCell ref="N63:O63"/>
    <mergeCell ref="N64:O64"/>
    <mergeCell ref="N65:O65"/>
  </mergeCells>
  <pageMargins left="0.7" right="0.7" top="0.75" bottom="0.75" header="0.3" footer="0.3"/>
  <pageSetup orientation="portrait" horizontalDpi="0" verticalDpi="0" r:id="rId1"/>
  <ignoredErrors>
    <ignoredError sqref="D42:D47 D3:D20 D21:D28 D48:D59 D60:D68 D29:D38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CA50-56B1-4DE4-9AC2-F3AEB1B94C86}">
  <dimension ref="A1:W735"/>
  <sheetViews>
    <sheetView tabSelected="1" workbookViewId="0">
      <selection activeCell="G50" sqref="G50"/>
    </sheetView>
  </sheetViews>
  <sheetFormatPr defaultColWidth="11.42578125" defaultRowHeight="15" x14ac:dyDescent="0.25"/>
  <cols>
    <col min="1" max="1" width="18.140625" customWidth="1"/>
    <col min="3" max="3" width="16" bestFit="1" customWidth="1"/>
    <col min="4" max="4" width="14.5703125" bestFit="1" customWidth="1"/>
    <col min="5" max="5" width="8.7109375" customWidth="1"/>
    <col min="6" max="6" width="4.7109375" customWidth="1"/>
    <col min="7" max="7" width="5.5703125" customWidth="1"/>
    <col min="8" max="8" width="4.5703125" customWidth="1"/>
    <col min="9" max="9" width="5.28515625" customWidth="1"/>
    <col min="10" max="10" width="4.5703125" customWidth="1"/>
    <col min="11" max="11" width="5.140625" customWidth="1"/>
    <col min="12" max="12" width="4.85546875" customWidth="1"/>
    <col min="13" max="13" width="5" customWidth="1"/>
    <col min="14" max="14" width="4.28515625" customWidth="1"/>
    <col min="15" max="15" width="5" customWidth="1"/>
    <col min="16" max="16" width="6.5703125" bestFit="1" customWidth="1"/>
    <col min="17" max="17" width="5" bestFit="1" customWidth="1"/>
    <col min="18" max="18" width="5.7109375" customWidth="1"/>
    <col min="19" max="19" width="4.85546875" customWidth="1"/>
    <col min="20" max="20" width="6.5703125" bestFit="1" customWidth="1"/>
  </cols>
  <sheetData>
    <row r="1" spans="1:21" ht="18.75" x14ac:dyDescent="0.25">
      <c r="A1" s="63" t="s">
        <v>293</v>
      </c>
      <c r="B1" s="63"/>
      <c r="C1" s="63"/>
      <c r="D1" s="54"/>
      <c r="E1" s="54"/>
      <c r="F1" s="63" t="s">
        <v>4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59"/>
      <c r="U1" s="84" t="s">
        <v>226</v>
      </c>
    </row>
    <row r="2" spans="1:21" x14ac:dyDescent="0.25">
      <c r="A2" s="22" t="s">
        <v>0</v>
      </c>
      <c r="B2" s="22" t="s">
        <v>3</v>
      </c>
      <c r="C2" s="23" t="s">
        <v>289</v>
      </c>
      <c r="D2" s="23" t="s">
        <v>290</v>
      </c>
      <c r="E2" s="23" t="s">
        <v>1</v>
      </c>
      <c r="F2" s="22">
        <v>15</v>
      </c>
      <c r="G2" s="22">
        <v>15.5</v>
      </c>
      <c r="H2" s="22">
        <v>16</v>
      </c>
      <c r="I2" s="22">
        <v>16.5</v>
      </c>
      <c r="J2" s="22">
        <v>17</v>
      </c>
      <c r="K2" s="22">
        <v>17.5</v>
      </c>
      <c r="L2" s="22">
        <v>18</v>
      </c>
      <c r="M2" s="22">
        <v>18.5</v>
      </c>
      <c r="N2" s="22">
        <v>19</v>
      </c>
      <c r="O2" s="22">
        <v>19.5</v>
      </c>
      <c r="P2" s="22">
        <v>20</v>
      </c>
      <c r="Q2" s="22">
        <v>20.5</v>
      </c>
      <c r="R2" s="22">
        <v>21</v>
      </c>
      <c r="S2" s="22">
        <v>21.5</v>
      </c>
      <c r="T2" s="6" t="s">
        <v>291</v>
      </c>
      <c r="U2" s="85"/>
    </row>
    <row r="3" spans="1:21" x14ac:dyDescent="0.25">
      <c r="A3" s="55" t="s">
        <v>282</v>
      </c>
      <c r="B3" s="56">
        <v>9201</v>
      </c>
      <c r="C3" s="55" t="s">
        <v>283</v>
      </c>
      <c r="D3" s="55" t="s">
        <v>284</v>
      </c>
      <c r="E3" s="2">
        <v>873</v>
      </c>
      <c r="F3" s="56">
        <v>4</v>
      </c>
      <c r="G3" s="56">
        <v>4</v>
      </c>
      <c r="H3" s="56">
        <v>4</v>
      </c>
      <c r="I3" s="56">
        <v>4</v>
      </c>
      <c r="J3" s="56">
        <v>4</v>
      </c>
      <c r="K3" s="56"/>
      <c r="L3" s="56">
        <v>4</v>
      </c>
      <c r="M3" s="56">
        <v>4</v>
      </c>
      <c r="N3" s="56">
        <v>4</v>
      </c>
      <c r="O3" s="56">
        <v>4</v>
      </c>
      <c r="P3" s="56">
        <v>4</v>
      </c>
      <c r="Q3" s="56">
        <v>2</v>
      </c>
      <c r="R3" s="56">
        <v>5</v>
      </c>
      <c r="S3" s="56">
        <v>4</v>
      </c>
      <c r="T3" s="57">
        <f t="shared" ref="T3:T11" si="0">SUM(F3:S3)</f>
        <v>51</v>
      </c>
      <c r="U3" s="3">
        <v>46237</v>
      </c>
    </row>
    <row r="4" spans="1:21" x14ac:dyDescent="0.25">
      <c r="A4" s="55" t="s">
        <v>282</v>
      </c>
      <c r="B4" s="56">
        <v>9210</v>
      </c>
      <c r="C4" s="55" t="s">
        <v>283</v>
      </c>
      <c r="D4" s="55" t="s">
        <v>285</v>
      </c>
      <c r="E4" s="2">
        <v>874</v>
      </c>
      <c r="F4" s="56">
        <v>4</v>
      </c>
      <c r="G4" s="56">
        <v>4</v>
      </c>
      <c r="H4" s="56">
        <v>1</v>
      </c>
      <c r="I4" s="56">
        <v>4</v>
      </c>
      <c r="J4" s="56">
        <v>4</v>
      </c>
      <c r="K4" s="56">
        <v>3</v>
      </c>
      <c r="L4" s="56">
        <v>4</v>
      </c>
      <c r="M4" s="56">
        <v>4</v>
      </c>
      <c r="N4" s="56">
        <v>4</v>
      </c>
      <c r="O4" s="56">
        <v>4</v>
      </c>
      <c r="P4" s="56">
        <v>4</v>
      </c>
      <c r="Q4" s="56">
        <v>4</v>
      </c>
      <c r="R4" s="56">
        <v>3</v>
      </c>
      <c r="S4" s="56">
        <v>6</v>
      </c>
      <c r="T4" s="57">
        <f t="shared" si="0"/>
        <v>53</v>
      </c>
      <c r="U4" s="3">
        <v>46237</v>
      </c>
    </row>
    <row r="5" spans="1:21" x14ac:dyDescent="0.25">
      <c r="A5" s="55" t="s">
        <v>282</v>
      </c>
      <c r="B5" s="56">
        <v>9205</v>
      </c>
      <c r="C5" s="55" t="s">
        <v>283</v>
      </c>
      <c r="D5" s="55" t="s">
        <v>284</v>
      </c>
      <c r="E5" s="2">
        <v>875</v>
      </c>
      <c r="F5" s="56"/>
      <c r="G5" s="56">
        <v>4</v>
      </c>
      <c r="H5" s="56">
        <v>3</v>
      </c>
      <c r="I5" s="56">
        <v>2</v>
      </c>
      <c r="J5" s="56">
        <v>1</v>
      </c>
      <c r="K5" s="56">
        <v>1</v>
      </c>
      <c r="L5" s="56">
        <v>4</v>
      </c>
      <c r="M5" s="56">
        <v>3</v>
      </c>
      <c r="N5" s="56">
        <v>2</v>
      </c>
      <c r="O5" s="56">
        <v>4</v>
      </c>
      <c r="P5" s="56">
        <v>4</v>
      </c>
      <c r="Q5" s="56">
        <v>1</v>
      </c>
      <c r="R5" s="56"/>
      <c r="S5" s="56"/>
      <c r="T5" s="57">
        <f t="shared" si="0"/>
        <v>29</v>
      </c>
      <c r="U5" s="3">
        <v>46237</v>
      </c>
    </row>
    <row r="6" spans="1:21" x14ac:dyDescent="0.25">
      <c r="A6" s="55" t="s">
        <v>282</v>
      </c>
      <c r="B6" s="56">
        <v>9248</v>
      </c>
      <c r="C6" s="55" t="s">
        <v>286</v>
      </c>
      <c r="D6" s="55" t="s">
        <v>287</v>
      </c>
      <c r="E6" s="2">
        <v>876</v>
      </c>
      <c r="F6" s="56">
        <v>4</v>
      </c>
      <c r="G6" s="56">
        <v>4</v>
      </c>
      <c r="H6" s="56">
        <v>4</v>
      </c>
      <c r="I6" s="56">
        <v>4</v>
      </c>
      <c r="J6" s="56">
        <v>4</v>
      </c>
      <c r="K6" s="56">
        <v>4</v>
      </c>
      <c r="L6" s="56">
        <v>4</v>
      </c>
      <c r="M6" s="56">
        <v>4</v>
      </c>
      <c r="N6" s="56">
        <v>4</v>
      </c>
      <c r="O6" s="56">
        <v>4</v>
      </c>
      <c r="P6" s="56">
        <v>4</v>
      </c>
      <c r="Q6" s="56">
        <v>4</v>
      </c>
      <c r="R6" s="56">
        <v>6</v>
      </c>
      <c r="S6" s="56">
        <v>6</v>
      </c>
      <c r="T6" s="57">
        <f t="shared" si="0"/>
        <v>60</v>
      </c>
      <c r="U6" s="3">
        <v>46237</v>
      </c>
    </row>
    <row r="7" spans="1:21" x14ac:dyDescent="0.25">
      <c r="A7" s="55" t="s">
        <v>282</v>
      </c>
      <c r="B7" s="56">
        <v>9257</v>
      </c>
      <c r="C7" s="55" t="s">
        <v>283</v>
      </c>
      <c r="D7" s="55" t="s">
        <v>288</v>
      </c>
      <c r="E7" s="2">
        <v>877</v>
      </c>
      <c r="F7" s="56">
        <v>4</v>
      </c>
      <c r="G7" s="56">
        <v>4</v>
      </c>
      <c r="H7" s="56">
        <v>4</v>
      </c>
      <c r="I7" s="56">
        <v>4</v>
      </c>
      <c r="J7" s="56">
        <v>4</v>
      </c>
      <c r="K7" s="56">
        <v>4</v>
      </c>
      <c r="L7" s="56">
        <v>4</v>
      </c>
      <c r="M7" s="56">
        <v>4</v>
      </c>
      <c r="N7" s="56">
        <v>4</v>
      </c>
      <c r="O7" s="56">
        <v>4</v>
      </c>
      <c r="P7" s="56">
        <v>4</v>
      </c>
      <c r="Q7" s="56">
        <v>4</v>
      </c>
      <c r="R7" s="56">
        <v>6</v>
      </c>
      <c r="S7" s="56">
        <v>6</v>
      </c>
      <c r="T7" s="57">
        <f t="shared" si="0"/>
        <v>60</v>
      </c>
      <c r="U7" s="3">
        <v>46237</v>
      </c>
    </row>
    <row r="8" spans="1:21" x14ac:dyDescent="0.25">
      <c r="A8" s="55" t="s">
        <v>282</v>
      </c>
      <c r="B8" s="56">
        <v>9219</v>
      </c>
      <c r="C8" s="55" t="s">
        <v>283</v>
      </c>
      <c r="D8" s="55" t="s">
        <v>285</v>
      </c>
      <c r="E8" s="2">
        <v>878</v>
      </c>
      <c r="F8" s="56">
        <v>4</v>
      </c>
      <c r="G8" s="56">
        <v>4</v>
      </c>
      <c r="H8" s="56">
        <v>4</v>
      </c>
      <c r="I8" s="56">
        <v>4</v>
      </c>
      <c r="J8" s="56">
        <v>4</v>
      </c>
      <c r="K8" s="56">
        <v>4</v>
      </c>
      <c r="L8" s="56">
        <v>4</v>
      </c>
      <c r="M8" s="56">
        <v>4</v>
      </c>
      <c r="N8" s="56">
        <v>4</v>
      </c>
      <c r="O8" s="56">
        <v>4</v>
      </c>
      <c r="P8" s="56">
        <v>4</v>
      </c>
      <c r="Q8" s="56">
        <v>4</v>
      </c>
      <c r="R8" s="56">
        <v>6</v>
      </c>
      <c r="S8" s="56">
        <v>6</v>
      </c>
      <c r="T8" s="57">
        <f t="shared" si="0"/>
        <v>60</v>
      </c>
      <c r="U8" s="3">
        <v>46237</v>
      </c>
    </row>
    <row r="9" spans="1:21" x14ac:dyDescent="0.25">
      <c r="A9" s="1" t="s">
        <v>297</v>
      </c>
      <c r="B9" s="61">
        <v>9220</v>
      </c>
      <c r="C9" s="43" t="s">
        <v>283</v>
      </c>
      <c r="D9" s="43" t="s">
        <v>296</v>
      </c>
      <c r="E9" s="2">
        <v>879</v>
      </c>
      <c r="F9" s="43">
        <v>6</v>
      </c>
      <c r="G9" s="43">
        <v>0</v>
      </c>
      <c r="H9" s="43">
        <v>6</v>
      </c>
      <c r="I9" s="43">
        <v>0</v>
      </c>
      <c r="J9" s="43">
        <v>6</v>
      </c>
      <c r="K9" s="43">
        <v>0</v>
      </c>
      <c r="L9" s="43">
        <v>10</v>
      </c>
      <c r="M9" s="43">
        <v>0</v>
      </c>
      <c r="N9" s="43">
        <v>10</v>
      </c>
      <c r="O9" s="43">
        <v>0</v>
      </c>
      <c r="P9" s="43">
        <v>10</v>
      </c>
      <c r="Q9" s="43">
        <v>0</v>
      </c>
      <c r="R9" s="43">
        <v>12</v>
      </c>
      <c r="S9" s="43">
        <v>0</v>
      </c>
      <c r="T9" s="57">
        <f t="shared" si="0"/>
        <v>60</v>
      </c>
      <c r="U9" s="3">
        <v>46239</v>
      </c>
    </row>
    <row r="10" spans="1:21" x14ac:dyDescent="0.25">
      <c r="A10" s="1" t="s">
        <v>297</v>
      </c>
      <c r="B10" s="61">
        <v>9201</v>
      </c>
      <c r="C10" s="43" t="s">
        <v>283</v>
      </c>
      <c r="D10" s="43" t="s">
        <v>296</v>
      </c>
      <c r="E10" s="2">
        <v>880</v>
      </c>
      <c r="F10" s="43">
        <v>6</v>
      </c>
      <c r="G10" s="43">
        <v>0</v>
      </c>
      <c r="H10" s="43">
        <v>6</v>
      </c>
      <c r="I10" s="43">
        <v>0</v>
      </c>
      <c r="J10" s="43">
        <v>6</v>
      </c>
      <c r="K10" s="43">
        <v>0</v>
      </c>
      <c r="L10" s="43">
        <v>10</v>
      </c>
      <c r="M10" s="43">
        <v>0</v>
      </c>
      <c r="N10" s="43">
        <v>10</v>
      </c>
      <c r="O10" s="43">
        <v>0</v>
      </c>
      <c r="P10" s="43">
        <v>10</v>
      </c>
      <c r="Q10" s="43">
        <v>0</v>
      </c>
      <c r="R10" s="43">
        <v>12</v>
      </c>
      <c r="S10" s="43">
        <v>0</v>
      </c>
      <c r="T10" s="57">
        <f t="shared" si="0"/>
        <v>60</v>
      </c>
      <c r="U10" s="3">
        <v>46239</v>
      </c>
    </row>
    <row r="11" spans="1:21" x14ac:dyDescent="0.25">
      <c r="A11" s="1" t="s">
        <v>297</v>
      </c>
      <c r="B11" s="61">
        <v>9219</v>
      </c>
      <c r="C11" s="43" t="s">
        <v>283</v>
      </c>
      <c r="D11" s="43" t="s">
        <v>285</v>
      </c>
      <c r="E11" s="2">
        <v>881</v>
      </c>
      <c r="F11" s="43">
        <v>6</v>
      </c>
      <c r="G11" s="43">
        <v>0</v>
      </c>
      <c r="H11" s="43">
        <v>6</v>
      </c>
      <c r="I11" s="43">
        <v>0</v>
      </c>
      <c r="J11" s="43">
        <v>6</v>
      </c>
      <c r="K11" s="43">
        <v>0</v>
      </c>
      <c r="L11" s="43">
        <v>10</v>
      </c>
      <c r="M11" s="43">
        <v>0</v>
      </c>
      <c r="N11" s="43">
        <v>10</v>
      </c>
      <c r="O11" s="43">
        <v>0</v>
      </c>
      <c r="P11" s="43">
        <v>10</v>
      </c>
      <c r="Q11" s="43">
        <v>0</v>
      </c>
      <c r="R11" s="43">
        <v>12</v>
      </c>
      <c r="S11" s="43">
        <v>0</v>
      </c>
      <c r="T11" s="57">
        <f t="shared" si="0"/>
        <v>60</v>
      </c>
      <c r="U11" s="3">
        <v>46239</v>
      </c>
    </row>
    <row r="12" spans="1:21" x14ac:dyDescent="0.25">
      <c r="A12" s="1" t="s">
        <v>297</v>
      </c>
      <c r="B12" s="61">
        <v>9201</v>
      </c>
      <c r="C12" s="43" t="s">
        <v>283</v>
      </c>
      <c r="D12" s="43" t="s">
        <v>285</v>
      </c>
      <c r="E12" s="2">
        <v>882</v>
      </c>
      <c r="F12" s="43">
        <v>6</v>
      </c>
      <c r="G12" s="43">
        <v>0</v>
      </c>
      <c r="H12" s="43">
        <v>6</v>
      </c>
      <c r="I12" s="43">
        <v>0</v>
      </c>
      <c r="J12" s="43">
        <v>6</v>
      </c>
      <c r="K12" s="43">
        <v>0</v>
      </c>
      <c r="L12" s="43">
        <v>10</v>
      </c>
      <c r="M12" s="43">
        <v>0</v>
      </c>
      <c r="N12" s="43">
        <v>10</v>
      </c>
      <c r="O12" s="43">
        <v>0</v>
      </c>
      <c r="P12" s="43">
        <v>10</v>
      </c>
      <c r="Q12" s="43">
        <v>0</v>
      </c>
      <c r="R12" s="43">
        <v>12</v>
      </c>
      <c r="S12" s="43">
        <v>0</v>
      </c>
      <c r="T12" s="57">
        <f t="shared" ref="T12:T14" si="1">SUM(F12:S12)</f>
        <v>60</v>
      </c>
      <c r="U12" s="3">
        <v>46239</v>
      </c>
    </row>
    <row r="13" spans="1:21" x14ac:dyDescent="0.25">
      <c r="A13" s="1" t="s">
        <v>17</v>
      </c>
      <c r="B13" s="2">
        <v>9280</v>
      </c>
      <c r="C13" s="2" t="s">
        <v>294</v>
      </c>
      <c r="D13" s="2" t="s">
        <v>296</v>
      </c>
      <c r="E13" s="2">
        <v>883</v>
      </c>
      <c r="F13" s="2">
        <v>1</v>
      </c>
      <c r="G13" s="2">
        <v>1</v>
      </c>
      <c r="H13" s="2">
        <v>1</v>
      </c>
      <c r="I13" s="2">
        <v>1</v>
      </c>
      <c r="J13" s="2">
        <v>2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57">
        <f t="shared" si="1"/>
        <v>15</v>
      </c>
      <c r="U13" s="3">
        <v>46239</v>
      </c>
    </row>
    <row r="14" spans="1:21" x14ac:dyDescent="0.25">
      <c r="A14" s="1" t="s">
        <v>298</v>
      </c>
      <c r="B14" s="2">
        <v>9213</v>
      </c>
      <c r="C14" s="2" t="s">
        <v>299</v>
      </c>
      <c r="D14" s="2" t="s">
        <v>301</v>
      </c>
      <c r="E14" s="2">
        <v>885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2</v>
      </c>
      <c r="L14" s="2">
        <v>2</v>
      </c>
      <c r="M14" s="2">
        <v>1</v>
      </c>
      <c r="N14" s="2">
        <v>2</v>
      </c>
      <c r="O14" s="2">
        <v>1</v>
      </c>
      <c r="P14" s="2">
        <v>2</v>
      </c>
      <c r="Q14" s="2">
        <v>1</v>
      </c>
      <c r="R14" s="2">
        <v>2</v>
      </c>
      <c r="S14" s="2">
        <v>1</v>
      </c>
      <c r="T14" s="2">
        <f t="shared" si="1"/>
        <v>24</v>
      </c>
      <c r="U14" s="3">
        <v>46240</v>
      </c>
    </row>
    <row r="15" spans="1:21" x14ac:dyDescent="0.25">
      <c r="A15" s="1" t="s">
        <v>298</v>
      </c>
      <c r="B15" s="2">
        <v>9240</v>
      </c>
      <c r="C15" s="2" t="s">
        <v>299</v>
      </c>
      <c r="D15" s="2" t="s">
        <v>296</v>
      </c>
      <c r="E15" s="2">
        <v>886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2</v>
      </c>
      <c r="L15" s="2">
        <v>2</v>
      </c>
      <c r="M15" s="2">
        <v>1</v>
      </c>
      <c r="N15" s="2">
        <v>2</v>
      </c>
      <c r="O15" s="2">
        <v>1</v>
      </c>
      <c r="P15" s="2">
        <v>2</v>
      </c>
      <c r="Q15" s="2">
        <v>1</v>
      </c>
      <c r="R15" s="2">
        <v>2</v>
      </c>
      <c r="S15" s="2">
        <v>1</v>
      </c>
      <c r="T15" s="2">
        <f t="shared" ref="T15:T18" si="2">SUM(F15:S15)</f>
        <v>24</v>
      </c>
      <c r="U15" s="3">
        <v>46240</v>
      </c>
    </row>
    <row r="16" spans="1:21" x14ac:dyDescent="0.25">
      <c r="A16" s="1" t="s">
        <v>298</v>
      </c>
      <c r="B16" s="2">
        <v>9240</v>
      </c>
      <c r="C16" s="2" t="s">
        <v>299</v>
      </c>
      <c r="D16" s="2" t="s">
        <v>285</v>
      </c>
      <c r="E16" s="2">
        <v>887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  <c r="K16" s="2">
        <v>2</v>
      </c>
      <c r="L16" s="2">
        <v>2</v>
      </c>
      <c r="M16" s="2">
        <v>1</v>
      </c>
      <c r="N16" s="2">
        <v>2</v>
      </c>
      <c r="O16" s="2">
        <v>1</v>
      </c>
      <c r="P16" s="2">
        <v>2</v>
      </c>
      <c r="Q16" s="2">
        <v>1</v>
      </c>
      <c r="R16" s="2">
        <v>2</v>
      </c>
      <c r="S16" s="2">
        <v>1</v>
      </c>
      <c r="T16" s="2">
        <f t="shared" si="2"/>
        <v>24</v>
      </c>
      <c r="U16" s="3">
        <v>46240</v>
      </c>
    </row>
    <row r="17" spans="1:21" x14ac:dyDescent="0.25">
      <c r="A17" s="1" t="s">
        <v>298</v>
      </c>
      <c r="B17" s="2">
        <v>9213</v>
      </c>
      <c r="C17" s="2" t="s">
        <v>300</v>
      </c>
      <c r="D17" s="2" t="s">
        <v>301</v>
      </c>
      <c r="E17" s="2">
        <v>888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2</v>
      </c>
      <c r="M17" s="2">
        <v>1</v>
      </c>
      <c r="N17" s="2">
        <v>2</v>
      </c>
      <c r="O17" s="2">
        <v>1</v>
      </c>
      <c r="P17" s="2">
        <v>2</v>
      </c>
      <c r="Q17" s="2">
        <v>1</v>
      </c>
      <c r="R17" s="2">
        <v>2</v>
      </c>
      <c r="S17" s="2">
        <v>1</v>
      </c>
      <c r="T17" s="2">
        <f t="shared" si="2"/>
        <v>24</v>
      </c>
      <c r="U17" s="3">
        <v>46240</v>
      </c>
    </row>
    <row r="18" spans="1:21" x14ac:dyDescent="0.25">
      <c r="A18" s="1" t="s">
        <v>298</v>
      </c>
      <c r="B18" s="2">
        <v>9240</v>
      </c>
      <c r="C18" s="2" t="s">
        <v>300</v>
      </c>
      <c r="D18" s="2" t="s">
        <v>296</v>
      </c>
      <c r="E18" s="2">
        <v>889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2">
        <v>2</v>
      </c>
      <c r="M18" s="2">
        <v>1</v>
      </c>
      <c r="N18" s="2">
        <v>2</v>
      </c>
      <c r="O18" s="2">
        <v>1</v>
      </c>
      <c r="P18" s="2">
        <v>2</v>
      </c>
      <c r="Q18" s="2">
        <v>1</v>
      </c>
      <c r="R18" s="2">
        <v>2</v>
      </c>
      <c r="S18" s="2">
        <v>1</v>
      </c>
      <c r="T18" s="2">
        <f t="shared" si="2"/>
        <v>24</v>
      </c>
      <c r="U18" s="3">
        <v>46240</v>
      </c>
    </row>
    <row r="19" spans="1:21" x14ac:dyDescent="0.25">
      <c r="A19" s="1" t="s">
        <v>298</v>
      </c>
      <c r="B19" s="2">
        <v>9240</v>
      </c>
      <c r="C19" s="2" t="s">
        <v>300</v>
      </c>
      <c r="D19" s="2" t="s">
        <v>285</v>
      </c>
      <c r="E19" s="2">
        <v>872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>
        <v>2</v>
      </c>
      <c r="M19" s="2">
        <v>1</v>
      </c>
      <c r="N19" s="2">
        <v>2</v>
      </c>
      <c r="O19" s="2">
        <v>1</v>
      </c>
      <c r="P19" s="2">
        <v>2</v>
      </c>
      <c r="Q19" s="2">
        <v>1</v>
      </c>
      <c r="R19" s="2">
        <v>2</v>
      </c>
      <c r="S19" s="2">
        <v>1</v>
      </c>
      <c r="T19" s="2">
        <f t="shared" ref="T19" si="3">SUM(F19:S19)</f>
        <v>24</v>
      </c>
      <c r="U19" s="3">
        <v>46241</v>
      </c>
    </row>
    <row r="20" spans="1:21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3"/>
    </row>
    <row r="21" spans="1:21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3"/>
    </row>
    <row r="22" spans="1:21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3"/>
    </row>
    <row r="23" spans="1:21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3"/>
    </row>
    <row r="24" spans="1:21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3"/>
    </row>
    <row r="25" spans="1:21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3"/>
    </row>
    <row r="26" spans="1:21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3"/>
    </row>
    <row r="27" spans="1:21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3"/>
    </row>
    <row r="28" spans="1:21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3"/>
    </row>
    <row r="29" spans="1:21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3"/>
    </row>
    <row r="30" spans="1:21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3"/>
    </row>
    <row r="31" spans="1:21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3"/>
    </row>
    <row r="32" spans="1:21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3"/>
    </row>
    <row r="33" spans="1:23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3"/>
    </row>
    <row r="34" spans="1:23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"/>
    </row>
    <row r="35" spans="1:23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3"/>
    </row>
    <row r="36" spans="1:23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3"/>
    </row>
    <row r="37" spans="1:23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3"/>
    </row>
    <row r="38" spans="1:23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3"/>
    </row>
    <row r="39" spans="1:23" x14ac:dyDescent="0.25">
      <c r="B39" s="4"/>
      <c r="C39" s="52">
        <f>SUM(C3:C38)</f>
        <v>0</v>
      </c>
      <c r="D39" s="58"/>
      <c r="E39" s="5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3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3" ht="15" customHeight="1" x14ac:dyDescent="0.25">
      <c r="A41" s="6" t="s">
        <v>0</v>
      </c>
      <c r="B41" s="22" t="s">
        <v>3</v>
      </c>
      <c r="C41" s="23" t="s">
        <v>289</v>
      </c>
      <c r="D41" s="23" t="s">
        <v>290</v>
      </c>
      <c r="E41" s="23" t="s">
        <v>1</v>
      </c>
      <c r="F41" s="6">
        <v>22</v>
      </c>
      <c r="G41" s="6">
        <v>22.5</v>
      </c>
      <c r="H41" s="6">
        <v>23</v>
      </c>
      <c r="I41" s="6">
        <v>23.5</v>
      </c>
      <c r="J41" s="6">
        <v>24</v>
      </c>
      <c r="K41" s="6">
        <v>24.5</v>
      </c>
      <c r="L41" s="6">
        <v>25</v>
      </c>
      <c r="M41" s="6">
        <v>25.5</v>
      </c>
      <c r="N41" s="6">
        <v>26</v>
      </c>
      <c r="O41" s="60"/>
      <c r="P41" s="60" t="s">
        <v>291</v>
      </c>
      <c r="Q41" s="110" t="s">
        <v>233</v>
      </c>
      <c r="R41" s="111"/>
    </row>
    <row r="42" spans="1:23" x14ac:dyDescent="0.25">
      <c r="A42" s="1" t="s">
        <v>292</v>
      </c>
      <c r="B42" s="2">
        <v>2402</v>
      </c>
      <c r="C42" s="2" t="s">
        <v>294</v>
      </c>
      <c r="D42" s="2" t="s">
        <v>295</v>
      </c>
      <c r="E42" s="2">
        <v>871</v>
      </c>
      <c r="F42" s="2">
        <v>4</v>
      </c>
      <c r="G42" s="2">
        <v>4</v>
      </c>
      <c r="H42" s="2">
        <v>4</v>
      </c>
      <c r="I42" s="2">
        <v>4</v>
      </c>
      <c r="J42" s="2">
        <v>4</v>
      </c>
      <c r="K42" s="2">
        <v>4</v>
      </c>
      <c r="L42" s="2">
        <v>2</v>
      </c>
      <c r="M42" s="2"/>
      <c r="N42" s="2"/>
      <c r="O42" s="2"/>
      <c r="P42" s="2">
        <f>SUM(F42:O42)</f>
        <v>26</v>
      </c>
      <c r="Q42" s="86">
        <v>46237</v>
      </c>
      <c r="R42" s="87"/>
      <c r="S42" s="4"/>
      <c r="T42" s="4"/>
      <c r="U42" s="4"/>
      <c r="V42" s="4"/>
      <c r="W42" s="4"/>
    </row>
    <row r="43" spans="1:23" x14ac:dyDescent="0.25">
      <c r="A43" s="1" t="s">
        <v>17</v>
      </c>
      <c r="B43" s="2">
        <v>9280</v>
      </c>
      <c r="C43" s="2" t="s">
        <v>294</v>
      </c>
      <c r="D43" s="2" t="s">
        <v>296</v>
      </c>
      <c r="E43" s="2">
        <v>884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/>
      <c r="N43" s="2"/>
      <c r="O43" s="2"/>
      <c r="P43" s="2">
        <f t="shared" ref="P43:P44" si="4">SUM(F43:O43)</f>
        <v>7</v>
      </c>
      <c r="Q43" s="86">
        <v>46239</v>
      </c>
      <c r="R43" s="87"/>
      <c r="S43" s="4"/>
      <c r="T43" s="4"/>
      <c r="U43" s="4"/>
      <c r="V43" s="4"/>
      <c r="W43" s="4"/>
    </row>
    <row r="44" spans="1:23" x14ac:dyDescent="0.25">
      <c r="A44" s="1" t="s">
        <v>298</v>
      </c>
      <c r="B44" s="2">
        <v>9213</v>
      </c>
      <c r="C44" s="2" t="s">
        <v>299</v>
      </c>
      <c r="D44" s="2" t="s">
        <v>301</v>
      </c>
      <c r="E44" s="2">
        <v>895</v>
      </c>
      <c r="F44" s="2">
        <v>2</v>
      </c>
      <c r="G44" s="2">
        <v>2</v>
      </c>
      <c r="H44" s="2">
        <v>4</v>
      </c>
      <c r="I44" s="2">
        <v>4</v>
      </c>
      <c r="J44" s="2">
        <v>4</v>
      </c>
      <c r="K44" s="2">
        <v>4</v>
      </c>
      <c r="L44" s="2">
        <v>4</v>
      </c>
      <c r="M44" s="2"/>
      <c r="N44" s="2"/>
      <c r="O44" s="2"/>
      <c r="P44" s="2">
        <f t="shared" si="4"/>
        <v>24</v>
      </c>
      <c r="Q44" s="86">
        <v>46240</v>
      </c>
      <c r="R44" s="87"/>
      <c r="S44" s="4"/>
      <c r="T44" s="4"/>
      <c r="U44" s="4"/>
      <c r="V44" s="4"/>
      <c r="W44" s="4"/>
    </row>
    <row r="45" spans="1:23" x14ac:dyDescent="0.25">
      <c r="A45" s="1" t="s">
        <v>298</v>
      </c>
      <c r="B45" s="2">
        <v>9240</v>
      </c>
      <c r="C45" s="2" t="s">
        <v>299</v>
      </c>
      <c r="D45" s="2" t="s">
        <v>296</v>
      </c>
      <c r="E45" s="2">
        <v>896</v>
      </c>
      <c r="F45" s="2">
        <v>2</v>
      </c>
      <c r="G45" s="2">
        <v>2</v>
      </c>
      <c r="H45" s="2">
        <v>4</v>
      </c>
      <c r="I45" s="2">
        <v>4</v>
      </c>
      <c r="J45" s="2">
        <v>4</v>
      </c>
      <c r="K45" s="2">
        <v>4</v>
      </c>
      <c r="L45" s="2">
        <v>4</v>
      </c>
      <c r="M45" s="2"/>
      <c r="N45" s="2"/>
      <c r="O45" s="2"/>
      <c r="P45" s="2">
        <f t="shared" ref="P45:P49" si="5">SUM(F45:O45)</f>
        <v>24</v>
      </c>
      <c r="Q45" s="86">
        <v>46240</v>
      </c>
      <c r="R45" s="87"/>
      <c r="S45" s="4"/>
      <c r="T45" s="4"/>
      <c r="U45" s="4"/>
      <c r="V45" s="4"/>
      <c r="W45" s="4"/>
    </row>
    <row r="46" spans="1:23" x14ac:dyDescent="0.25">
      <c r="A46" s="1" t="s">
        <v>298</v>
      </c>
      <c r="B46" s="2">
        <v>9240</v>
      </c>
      <c r="C46" s="2" t="s">
        <v>299</v>
      </c>
      <c r="D46" s="2" t="s">
        <v>285</v>
      </c>
      <c r="E46" s="2">
        <v>897</v>
      </c>
      <c r="F46" s="2">
        <v>2</v>
      </c>
      <c r="G46" s="2">
        <v>2</v>
      </c>
      <c r="H46" s="2">
        <v>4</v>
      </c>
      <c r="I46" s="2">
        <v>4</v>
      </c>
      <c r="J46" s="2">
        <v>4</v>
      </c>
      <c r="K46" s="2">
        <v>4</v>
      </c>
      <c r="L46" s="2">
        <v>4</v>
      </c>
      <c r="M46" s="2"/>
      <c r="N46" s="2"/>
      <c r="O46" s="2"/>
      <c r="P46" s="2">
        <f t="shared" si="5"/>
        <v>24</v>
      </c>
      <c r="Q46" s="86">
        <v>46240</v>
      </c>
      <c r="R46" s="87"/>
      <c r="S46" s="4"/>
      <c r="T46" s="4"/>
      <c r="U46" s="4"/>
      <c r="V46" s="4"/>
      <c r="W46" s="4"/>
    </row>
    <row r="47" spans="1:23" x14ac:dyDescent="0.25">
      <c r="A47" s="1" t="s">
        <v>298</v>
      </c>
      <c r="B47" s="2">
        <v>9240</v>
      </c>
      <c r="C47" s="2" t="s">
        <v>300</v>
      </c>
      <c r="D47" s="2" t="s">
        <v>301</v>
      </c>
      <c r="E47" s="2">
        <v>898</v>
      </c>
      <c r="F47" s="2">
        <v>2</v>
      </c>
      <c r="G47" s="2">
        <v>2</v>
      </c>
      <c r="H47" s="2">
        <v>4</v>
      </c>
      <c r="I47" s="2">
        <v>4</v>
      </c>
      <c r="J47" s="2">
        <v>4</v>
      </c>
      <c r="K47" s="2">
        <v>4</v>
      </c>
      <c r="L47" s="2">
        <v>4</v>
      </c>
      <c r="M47" s="2"/>
      <c r="N47" s="2"/>
      <c r="O47" s="2"/>
      <c r="P47" s="2">
        <f t="shared" si="5"/>
        <v>24</v>
      </c>
      <c r="Q47" s="86">
        <v>46240</v>
      </c>
      <c r="R47" s="87"/>
      <c r="S47" s="4"/>
      <c r="T47" s="4"/>
      <c r="U47" s="4"/>
      <c r="V47" s="4"/>
      <c r="W47" s="4"/>
    </row>
    <row r="48" spans="1:23" x14ac:dyDescent="0.25">
      <c r="A48" s="1" t="s">
        <v>298</v>
      </c>
      <c r="B48" s="2">
        <v>9240</v>
      </c>
      <c r="C48" s="2" t="s">
        <v>300</v>
      </c>
      <c r="D48" s="2" t="s">
        <v>296</v>
      </c>
      <c r="E48" s="2">
        <v>899</v>
      </c>
      <c r="F48" s="2">
        <v>2</v>
      </c>
      <c r="G48" s="2">
        <v>2</v>
      </c>
      <c r="H48" s="2">
        <v>4</v>
      </c>
      <c r="I48" s="2">
        <v>4</v>
      </c>
      <c r="J48" s="2">
        <v>4</v>
      </c>
      <c r="K48" s="2">
        <v>4</v>
      </c>
      <c r="L48" s="2">
        <v>4</v>
      </c>
      <c r="M48" s="2"/>
      <c r="N48" s="2"/>
      <c r="O48" s="2"/>
      <c r="P48" s="2">
        <f t="shared" si="5"/>
        <v>24</v>
      </c>
      <c r="Q48" s="86">
        <v>46240</v>
      </c>
      <c r="R48" s="87"/>
      <c r="S48" s="4"/>
      <c r="T48" s="4"/>
      <c r="U48" s="4"/>
      <c r="V48" s="4"/>
      <c r="W48" s="4"/>
    </row>
    <row r="49" spans="1:23" x14ac:dyDescent="0.25">
      <c r="A49" s="1" t="s">
        <v>298</v>
      </c>
      <c r="B49" s="2">
        <v>9240</v>
      </c>
      <c r="C49" s="2" t="s">
        <v>300</v>
      </c>
      <c r="D49" s="2" t="s">
        <v>285</v>
      </c>
      <c r="E49" s="2">
        <v>900</v>
      </c>
      <c r="F49" s="2">
        <v>2</v>
      </c>
      <c r="G49" s="2">
        <v>2</v>
      </c>
      <c r="H49" s="2">
        <v>4</v>
      </c>
      <c r="I49" s="2">
        <v>4</v>
      </c>
      <c r="J49" s="2">
        <v>4</v>
      </c>
      <c r="K49" s="2">
        <v>4</v>
      </c>
      <c r="L49" s="2">
        <v>4</v>
      </c>
      <c r="M49" s="2"/>
      <c r="N49" s="2"/>
      <c r="O49" s="2"/>
      <c r="P49" s="2">
        <f t="shared" si="5"/>
        <v>24</v>
      </c>
      <c r="Q49" s="86">
        <v>46240</v>
      </c>
      <c r="R49" s="87"/>
      <c r="S49" s="4"/>
      <c r="T49" s="4"/>
      <c r="U49" s="4"/>
      <c r="V49" s="4"/>
      <c r="W49" s="4"/>
    </row>
    <row r="50" spans="1:23" x14ac:dyDescent="0.25">
      <c r="A50" s="7"/>
      <c r="B50" s="2"/>
      <c r="C50" s="2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86"/>
      <c r="R50" s="87"/>
      <c r="S50" s="4"/>
      <c r="T50" s="4"/>
      <c r="U50" s="4"/>
      <c r="V50" s="4"/>
      <c r="W50" s="4"/>
    </row>
    <row r="51" spans="1:23" x14ac:dyDescent="0.25">
      <c r="A51" s="7"/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86"/>
      <c r="R51" s="87"/>
      <c r="S51" s="4"/>
      <c r="T51" s="4"/>
      <c r="U51" s="4"/>
      <c r="V51" s="4"/>
      <c r="W51" s="4"/>
    </row>
    <row r="52" spans="1:23" x14ac:dyDescent="0.25">
      <c r="A52" s="7"/>
      <c r="B52" s="2"/>
      <c r="C52" s="2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86"/>
      <c r="R52" s="87"/>
      <c r="S52" s="4"/>
      <c r="T52" s="4"/>
      <c r="U52" s="4"/>
      <c r="V52" s="4"/>
      <c r="W52" s="4"/>
    </row>
    <row r="53" spans="1:23" x14ac:dyDescent="0.25">
      <c r="A53" s="7"/>
      <c r="B53" s="2"/>
      <c r="C53" s="2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86"/>
      <c r="R53" s="87"/>
      <c r="S53" s="4"/>
      <c r="T53" s="4"/>
      <c r="U53" s="4"/>
      <c r="V53" s="4"/>
      <c r="W53" s="4"/>
    </row>
    <row r="54" spans="1:23" x14ac:dyDescent="0.25">
      <c r="A54" s="7"/>
      <c r="B54" s="2"/>
      <c r="C54" s="2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86"/>
      <c r="R54" s="87"/>
      <c r="S54" s="4"/>
      <c r="T54" s="4"/>
      <c r="U54" s="4"/>
      <c r="V54" s="4"/>
      <c r="W54" s="4"/>
    </row>
    <row r="55" spans="1:23" x14ac:dyDescent="0.25">
      <c r="A55" s="7"/>
      <c r="B55" s="2"/>
      <c r="C55" s="2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86"/>
      <c r="R55" s="87"/>
      <c r="S55" s="4"/>
      <c r="T55" s="4"/>
      <c r="U55" s="4"/>
      <c r="V55" s="4"/>
      <c r="W55" s="4"/>
    </row>
    <row r="56" spans="1:23" x14ac:dyDescent="0.25">
      <c r="A56" s="7"/>
      <c r="B56" s="2"/>
      <c r="C56" s="2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86"/>
      <c r="R56" s="87"/>
      <c r="S56" s="4"/>
      <c r="T56" s="4"/>
      <c r="U56" s="4"/>
      <c r="V56" s="4"/>
      <c r="W56" s="4"/>
    </row>
    <row r="57" spans="1:23" x14ac:dyDescent="0.25">
      <c r="A57" s="7"/>
      <c r="B57" s="2"/>
      <c r="C57" s="2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86"/>
      <c r="R57" s="87"/>
      <c r="S57" s="4"/>
      <c r="T57" s="4"/>
      <c r="U57" s="4"/>
      <c r="V57" s="4"/>
      <c r="W57" s="4"/>
    </row>
    <row r="58" spans="1:23" x14ac:dyDescent="0.25">
      <c r="A58" s="7"/>
      <c r="B58" s="2"/>
      <c r="C58" s="2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86"/>
      <c r="R58" s="87"/>
      <c r="S58" s="4"/>
      <c r="T58" s="4"/>
      <c r="U58" s="4"/>
      <c r="V58" s="4"/>
      <c r="W58" s="4"/>
    </row>
    <row r="59" spans="1:23" x14ac:dyDescent="0.25">
      <c r="A59" s="7"/>
      <c r="B59" s="2"/>
      <c r="C59" s="2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86"/>
      <c r="R59" s="87"/>
      <c r="S59" s="4"/>
      <c r="T59" s="4"/>
      <c r="U59" s="4"/>
      <c r="V59" s="4"/>
      <c r="W59" s="4"/>
    </row>
    <row r="60" spans="1:23" x14ac:dyDescent="0.25">
      <c r="A60" s="7"/>
      <c r="B60" s="2"/>
      <c r="C60" s="2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86"/>
      <c r="R60" s="87"/>
      <c r="S60" s="4"/>
      <c r="T60" s="4"/>
      <c r="U60" s="4"/>
      <c r="V60" s="4"/>
      <c r="W60" s="4"/>
    </row>
    <row r="61" spans="1:23" x14ac:dyDescent="0.25">
      <c r="A61" s="7"/>
      <c r="B61" s="2"/>
      <c r="C61" s="2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86"/>
      <c r="R61" s="87"/>
      <c r="S61" s="4"/>
      <c r="T61" s="4"/>
      <c r="U61" s="4"/>
      <c r="V61" s="4"/>
      <c r="W61" s="4"/>
    </row>
    <row r="62" spans="1:23" x14ac:dyDescent="0.25">
      <c r="A62" s="7"/>
      <c r="B62" s="2"/>
      <c r="C62" s="2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86"/>
      <c r="R62" s="87"/>
      <c r="S62" s="4"/>
      <c r="T62" s="4"/>
      <c r="U62" s="4"/>
      <c r="V62" s="4"/>
      <c r="W62" s="4"/>
    </row>
    <row r="63" spans="1:23" x14ac:dyDescent="0.25">
      <c r="A63" s="7"/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86"/>
      <c r="R63" s="87"/>
      <c r="S63" s="4"/>
      <c r="T63" s="4"/>
      <c r="U63" s="4"/>
      <c r="V63" s="4"/>
      <c r="W63" s="4"/>
    </row>
    <row r="64" spans="1:23" x14ac:dyDescent="0.25">
      <c r="A64" s="7"/>
      <c r="B64" s="2"/>
      <c r="C64" s="2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86"/>
      <c r="R64" s="87"/>
      <c r="S64" s="4"/>
      <c r="T64" s="4"/>
      <c r="U64" s="4"/>
      <c r="V64" s="4"/>
      <c r="W64" s="4"/>
    </row>
    <row r="65" spans="1:23" x14ac:dyDescent="0.25">
      <c r="A65" s="7"/>
      <c r="B65" s="2"/>
      <c r="C65" s="2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86"/>
      <c r="R65" s="87"/>
      <c r="S65" s="4"/>
      <c r="T65" s="4"/>
      <c r="U65" s="4"/>
      <c r="V65" s="4"/>
      <c r="W65" s="4"/>
    </row>
    <row r="66" spans="1:23" x14ac:dyDescent="0.25">
      <c r="A66" s="7"/>
      <c r="B66" s="2"/>
      <c r="C66" s="2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86"/>
      <c r="R66" s="87"/>
      <c r="S66" s="4"/>
      <c r="T66" s="4"/>
      <c r="U66" s="4"/>
      <c r="V66" s="4"/>
      <c r="W66" s="4"/>
    </row>
    <row r="67" spans="1:23" x14ac:dyDescent="0.25">
      <c r="A67" s="7"/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86"/>
      <c r="R67" s="87"/>
      <c r="S67" s="4"/>
      <c r="T67" s="4"/>
      <c r="U67" s="4"/>
      <c r="V67" s="4"/>
      <c r="W67" s="4"/>
    </row>
    <row r="68" spans="1:23" x14ac:dyDescent="0.25">
      <c r="A68" s="7"/>
      <c r="B68" s="2"/>
      <c r="C68" s="2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86"/>
      <c r="R68" s="87"/>
      <c r="S68" s="4"/>
      <c r="T68" s="4"/>
      <c r="U68" s="4"/>
      <c r="V68" s="4"/>
      <c r="W68" s="4"/>
    </row>
    <row r="69" spans="1:23" x14ac:dyDescent="0.25">
      <c r="B69" s="4"/>
      <c r="C69" s="52">
        <f>SUM(C42:C68)</f>
        <v>0</v>
      </c>
      <c r="D69" s="58"/>
      <c r="E69" s="5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3" x14ac:dyDescent="0.25">
      <c r="B70" s="53">
        <f>C69+C39</f>
        <v>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3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3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3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3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3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3" x14ac:dyDescent="0.2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3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3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3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3" x14ac:dyDescent="0.2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2:21" x14ac:dyDescent="0.2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2:21" x14ac:dyDescent="0.2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2:21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2:21" x14ac:dyDescent="0.2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2:21" x14ac:dyDescent="0.2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2:21" x14ac:dyDescent="0.2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2:21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2:21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2:21" x14ac:dyDescent="0.2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2:21" x14ac:dyDescent="0.2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2:21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2:21" x14ac:dyDescent="0.2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2:21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2:21" x14ac:dyDescent="0.2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2:21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2:21" x14ac:dyDescent="0.2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2:21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2:21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2:21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2:21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2:21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2:21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2:21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2:21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2:21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2:21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2:21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2:21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2:21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2:21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2:21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2:21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2:21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2:21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2:21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2:21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2:21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2:21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2:21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2:21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2:21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2:21" x14ac:dyDescent="0.2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2:21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2:21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2:21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2:21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2:21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2:21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2:21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2:21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2:21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2:21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2:21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2:21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2:21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2:21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2:21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2:21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2:21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2:21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2:21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2:21" x14ac:dyDescent="0.2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2:21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2:21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2:21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2:21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2:21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2:21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2:21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2:21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2:21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2:21" x14ac:dyDescent="0.2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2:21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2:21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2:21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2:21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2:21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2:21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2:21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2:21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2:21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2:21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2:21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2:21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2:21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2:21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2:21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2:21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2:21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2:21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2:21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2:21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2:21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2:21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2:21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2:21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2:21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2:21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2:21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2:21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2:21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2:21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2:21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2:21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2:21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2:21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2:21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2:21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2:21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2:21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2:21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2:21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2:21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2:21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2:21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2:21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2:21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2:21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2:21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2:21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2:21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2:21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2:21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2:21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2:21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2:21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2:21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2:21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2:21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2:21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2:21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2:21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2:21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2:21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2:21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2:21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2:21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2:21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2:21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2:21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2:21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2:21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2:21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2:21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2:21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2:21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2:21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2:21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2:21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2:21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2:21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2:21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2:21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2:21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2:21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2:21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2:21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2:21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2:21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2:21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2:21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2:21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2:21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2:21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2:21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2:21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2:21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2:21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2:21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2:21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2:21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2:21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2:21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2:21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2:21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2:21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2:21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2:21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2:21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2:21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2:21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2:21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2:21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2:21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2:21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2:21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2:21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2:21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2:21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2:21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2:21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2:21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2:21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2:21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2:21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2:21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2:21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2:21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2:21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2:21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2:21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2:21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2:21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2:21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2:21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2:21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2:21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2:21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2:21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2:21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2:21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2:21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2:21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2:21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2:21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2:21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2:21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2:21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2:21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2:21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2:21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2:21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2:21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2:21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2:21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2:21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2:21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2:21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2:21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2:21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2:21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2:21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2:21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2:21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2:21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2:21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2:21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2:21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2:21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2:21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2:21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2:21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2:21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2:21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2:21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2:21" x14ac:dyDescent="0.2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2:21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2:21" x14ac:dyDescent="0.25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2:21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2:21" x14ac:dyDescent="0.25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2:21" x14ac:dyDescent="0.2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2:21" x14ac:dyDescent="0.25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2:21" x14ac:dyDescent="0.2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2:21" x14ac:dyDescent="0.2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2:21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2:21" x14ac:dyDescent="0.2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2:21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2:21" x14ac:dyDescent="0.2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2:21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2:21" x14ac:dyDescent="0.2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2:21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2:21" x14ac:dyDescent="0.2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2:21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2:21" x14ac:dyDescent="0.2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2:21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2:21" x14ac:dyDescent="0.2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2:21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2:21" x14ac:dyDescent="0.2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2:21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2:21" x14ac:dyDescent="0.2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2:21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2:21" x14ac:dyDescent="0.2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2:21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2:21" x14ac:dyDescent="0.2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2:21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2:21" x14ac:dyDescent="0.2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2:21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2:21" x14ac:dyDescent="0.2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2:21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2:21" x14ac:dyDescent="0.2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2:21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2:21" x14ac:dyDescent="0.2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2:21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2:21" x14ac:dyDescent="0.2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2:21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2:21" x14ac:dyDescent="0.2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2:21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2:21" x14ac:dyDescent="0.2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2:21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2:21" x14ac:dyDescent="0.2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2:21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2:21" x14ac:dyDescent="0.2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2:21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2:21" x14ac:dyDescent="0.2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2:21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2:21" x14ac:dyDescent="0.2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2:21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2:21" x14ac:dyDescent="0.2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2:21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2:21" x14ac:dyDescent="0.2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2:21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2:21" x14ac:dyDescent="0.2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2:21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2:21" x14ac:dyDescent="0.2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2:21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2:21" x14ac:dyDescent="0.2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2:21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2:21" x14ac:dyDescent="0.2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2:21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2:21" x14ac:dyDescent="0.2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2:21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2:21" x14ac:dyDescent="0.2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2:21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2:21" x14ac:dyDescent="0.2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2:21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2:21" x14ac:dyDescent="0.25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2:21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2:21" x14ac:dyDescent="0.25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2:21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2:21" x14ac:dyDescent="0.2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2:21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2:21" x14ac:dyDescent="0.2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2:21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2:21" x14ac:dyDescent="0.2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2:21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2:21" x14ac:dyDescent="0.2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2:21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2:21" x14ac:dyDescent="0.2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2:21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2:21" x14ac:dyDescent="0.2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2:21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2:21" x14ac:dyDescent="0.2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2:21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2:21" x14ac:dyDescent="0.2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2:21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2:21" x14ac:dyDescent="0.25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2:21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2:21" x14ac:dyDescent="0.25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2:21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2:21" x14ac:dyDescent="0.25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2:21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2:21" x14ac:dyDescent="0.25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2:21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2:21" x14ac:dyDescent="0.25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2:21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2:21" x14ac:dyDescent="0.25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2:21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2:21" x14ac:dyDescent="0.25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2:21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2:21" x14ac:dyDescent="0.2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2:21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2:21" x14ac:dyDescent="0.25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2:21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2:21" x14ac:dyDescent="0.25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2:21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2:21" x14ac:dyDescent="0.25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2:21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2:21" x14ac:dyDescent="0.2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2:21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2:21" x14ac:dyDescent="0.25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2:21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2:21" x14ac:dyDescent="0.25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2:21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2:21" x14ac:dyDescent="0.25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2:21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2:21" x14ac:dyDescent="0.2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2:21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2:21" x14ac:dyDescent="0.2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2:21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2:21" x14ac:dyDescent="0.2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2:21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2:21" x14ac:dyDescent="0.2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2:21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2:21" x14ac:dyDescent="0.2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2:21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2:21" x14ac:dyDescent="0.2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2:21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2:21" x14ac:dyDescent="0.2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2:21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2:21" x14ac:dyDescent="0.25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2:21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2:21" x14ac:dyDescent="0.25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2:21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2:21" x14ac:dyDescent="0.25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2:21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2:21" x14ac:dyDescent="0.25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2:21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2:21" x14ac:dyDescent="0.25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2:21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2:21" x14ac:dyDescent="0.25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2:21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2:21" x14ac:dyDescent="0.2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2:21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2:21" x14ac:dyDescent="0.2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2:21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2:21" x14ac:dyDescent="0.2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2:21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2:21" x14ac:dyDescent="0.25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2:21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2:21" x14ac:dyDescent="0.25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2:21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2:21" x14ac:dyDescent="0.25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2:21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2:21" x14ac:dyDescent="0.25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2:21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2:21" x14ac:dyDescent="0.25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2:21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2:21" x14ac:dyDescent="0.25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2:21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2:21" x14ac:dyDescent="0.25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2:21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2:21" x14ac:dyDescent="0.25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2:21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2:21" x14ac:dyDescent="0.25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2:21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2:21" x14ac:dyDescent="0.25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2:21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2:21" x14ac:dyDescent="0.25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2:21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2:21" x14ac:dyDescent="0.25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2:21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2:21" x14ac:dyDescent="0.25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2:21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2:21" x14ac:dyDescent="0.2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2:21" x14ac:dyDescent="0.2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2:21" x14ac:dyDescent="0.25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2:21" x14ac:dyDescent="0.25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2:21" x14ac:dyDescent="0.25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2:21" x14ac:dyDescent="0.25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2:21" x14ac:dyDescent="0.25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2:21" x14ac:dyDescent="0.25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2:21" x14ac:dyDescent="0.2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2:21" x14ac:dyDescent="0.2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2:21" x14ac:dyDescent="0.25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2:21" x14ac:dyDescent="0.2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2:21" x14ac:dyDescent="0.25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2:21" x14ac:dyDescent="0.2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2:21" x14ac:dyDescent="0.25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2:21" x14ac:dyDescent="0.25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2:21" x14ac:dyDescent="0.2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2:21" x14ac:dyDescent="0.25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2:21" x14ac:dyDescent="0.25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2:21" x14ac:dyDescent="0.25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2:21" x14ac:dyDescent="0.25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2:21" x14ac:dyDescent="0.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2:21" x14ac:dyDescent="0.25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2:21" x14ac:dyDescent="0.25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2:21" x14ac:dyDescent="0.25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2:21" x14ac:dyDescent="0.25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2:21" x14ac:dyDescent="0.25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2:21" x14ac:dyDescent="0.25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2:21" x14ac:dyDescent="0.25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2:21" x14ac:dyDescent="0.25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2:21" x14ac:dyDescent="0.25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2:21" x14ac:dyDescent="0.2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2:21" x14ac:dyDescent="0.25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2:21" x14ac:dyDescent="0.25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2:21" x14ac:dyDescent="0.25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2:21" x14ac:dyDescent="0.2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2:21" x14ac:dyDescent="0.2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2:21" x14ac:dyDescent="0.2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2:21" x14ac:dyDescent="0.2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2:21" x14ac:dyDescent="0.2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2:21" x14ac:dyDescent="0.2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2:21" x14ac:dyDescent="0.2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2:21" x14ac:dyDescent="0.2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2:21" x14ac:dyDescent="0.2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2:21" x14ac:dyDescent="0.2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2:21" x14ac:dyDescent="0.2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2:21" x14ac:dyDescent="0.2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2:21" x14ac:dyDescent="0.2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2:21" x14ac:dyDescent="0.2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2:21" x14ac:dyDescent="0.2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2:21" x14ac:dyDescent="0.2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2:21" x14ac:dyDescent="0.2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2:21" x14ac:dyDescent="0.2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2:21" x14ac:dyDescent="0.2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2:21" x14ac:dyDescent="0.2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2:21" x14ac:dyDescent="0.2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2:21" x14ac:dyDescent="0.2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2:21" x14ac:dyDescent="0.2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2:21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2:21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2:21" x14ac:dyDescent="0.2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2:21" x14ac:dyDescent="0.2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2:21" x14ac:dyDescent="0.2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2:21" x14ac:dyDescent="0.2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2:21" x14ac:dyDescent="0.2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2:21" x14ac:dyDescent="0.2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2:21" x14ac:dyDescent="0.2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2:21" x14ac:dyDescent="0.2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2:21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2:21" x14ac:dyDescent="0.2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2:21" x14ac:dyDescent="0.2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2:21" x14ac:dyDescent="0.2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2:21" x14ac:dyDescent="0.2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2:21" x14ac:dyDescent="0.2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2:21" x14ac:dyDescent="0.2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2:21" x14ac:dyDescent="0.2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2:21" x14ac:dyDescent="0.2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2:21" x14ac:dyDescent="0.2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2:21" x14ac:dyDescent="0.2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2:21" x14ac:dyDescent="0.2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2:21" x14ac:dyDescent="0.2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2:21" x14ac:dyDescent="0.2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2:21" x14ac:dyDescent="0.2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2:21" x14ac:dyDescent="0.2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2:21" x14ac:dyDescent="0.2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2:21" x14ac:dyDescent="0.2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2:21" x14ac:dyDescent="0.2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2:21" x14ac:dyDescent="0.2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2:21" x14ac:dyDescent="0.2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2:21" x14ac:dyDescent="0.2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2:21" x14ac:dyDescent="0.2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2:21" x14ac:dyDescent="0.2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2:21" x14ac:dyDescent="0.2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2:21" x14ac:dyDescent="0.2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2:21" x14ac:dyDescent="0.2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2:21" x14ac:dyDescent="0.2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2:21" x14ac:dyDescent="0.2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2:21" x14ac:dyDescent="0.2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2:21" x14ac:dyDescent="0.2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2:21" x14ac:dyDescent="0.2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2:21" x14ac:dyDescent="0.2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2:21" x14ac:dyDescent="0.2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2:21" x14ac:dyDescent="0.2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2:21" x14ac:dyDescent="0.2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2:21" x14ac:dyDescent="0.2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2:21" x14ac:dyDescent="0.2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2:21" x14ac:dyDescent="0.2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2:21" x14ac:dyDescent="0.2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2:21" x14ac:dyDescent="0.2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2:21" x14ac:dyDescent="0.2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2:21" x14ac:dyDescent="0.2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2:21" x14ac:dyDescent="0.2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2:21" x14ac:dyDescent="0.2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2:21" x14ac:dyDescent="0.2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2:21" x14ac:dyDescent="0.2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2:21" x14ac:dyDescent="0.2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2:21" x14ac:dyDescent="0.2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2:21" x14ac:dyDescent="0.2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2:21" x14ac:dyDescent="0.2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2:21" x14ac:dyDescent="0.2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2:21" x14ac:dyDescent="0.2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2:21" x14ac:dyDescent="0.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2:21" x14ac:dyDescent="0.2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2:21" x14ac:dyDescent="0.2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2:21" x14ac:dyDescent="0.2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2:21" x14ac:dyDescent="0.2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2:21" x14ac:dyDescent="0.2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2:21" x14ac:dyDescent="0.2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2:21" x14ac:dyDescent="0.2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2:21" x14ac:dyDescent="0.2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2:21" x14ac:dyDescent="0.2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2:21" x14ac:dyDescent="0.2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2:21" x14ac:dyDescent="0.2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2:21" x14ac:dyDescent="0.2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2:21" x14ac:dyDescent="0.2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2:21" x14ac:dyDescent="0.2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2:21" x14ac:dyDescent="0.2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2:21" x14ac:dyDescent="0.2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2:21" x14ac:dyDescent="0.2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2:21" x14ac:dyDescent="0.2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2:21" x14ac:dyDescent="0.2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2:21" x14ac:dyDescent="0.2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2:21" x14ac:dyDescent="0.2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2:21" x14ac:dyDescent="0.2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2:21" x14ac:dyDescent="0.2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2:21" x14ac:dyDescent="0.2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2:21" x14ac:dyDescent="0.2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2:21" x14ac:dyDescent="0.25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2:21" x14ac:dyDescent="0.25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2:21" x14ac:dyDescent="0.25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2:21" x14ac:dyDescent="0.25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2:21" x14ac:dyDescent="0.2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2:21" x14ac:dyDescent="0.25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2:21" x14ac:dyDescent="0.25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2:21" x14ac:dyDescent="0.25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2:21" x14ac:dyDescent="0.25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2:21" x14ac:dyDescent="0.25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2:21" x14ac:dyDescent="0.25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2:21" x14ac:dyDescent="0.25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2:21" x14ac:dyDescent="0.25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2:21" x14ac:dyDescent="0.25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2:21" x14ac:dyDescent="0.2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2:21" x14ac:dyDescent="0.25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2:21" x14ac:dyDescent="0.25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2:21" x14ac:dyDescent="0.25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2:21" x14ac:dyDescent="0.25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2:21" x14ac:dyDescent="0.25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2:21" x14ac:dyDescent="0.25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2:21" x14ac:dyDescent="0.25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2:21" x14ac:dyDescent="0.25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2:21" x14ac:dyDescent="0.25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2:21" x14ac:dyDescent="0.2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2:21" x14ac:dyDescent="0.25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2:21" x14ac:dyDescent="0.25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2:21" x14ac:dyDescent="0.25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2:21" x14ac:dyDescent="0.25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2:21" x14ac:dyDescent="0.25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2:21" x14ac:dyDescent="0.25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2:21" x14ac:dyDescent="0.25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2:21" x14ac:dyDescent="0.25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2:21" x14ac:dyDescent="0.25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2:21" x14ac:dyDescent="0.2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2:21" x14ac:dyDescent="0.25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2:21" x14ac:dyDescent="0.25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2:21" x14ac:dyDescent="0.25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2:21" x14ac:dyDescent="0.25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2:21" x14ac:dyDescent="0.25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2:21" x14ac:dyDescent="0.25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2:21" x14ac:dyDescent="0.25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2:21" x14ac:dyDescent="0.25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2:21" x14ac:dyDescent="0.25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2:21" x14ac:dyDescent="0.2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2:21" x14ac:dyDescent="0.25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2:21" x14ac:dyDescent="0.25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2:21" x14ac:dyDescent="0.25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2:21" x14ac:dyDescent="0.25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2:21" x14ac:dyDescent="0.25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2:21" x14ac:dyDescent="0.25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2:21" x14ac:dyDescent="0.25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2:21" x14ac:dyDescent="0.25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2:21" x14ac:dyDescent="0.25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2:21" x14ac:dyDescent="0.2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2:21" x14ac:dyDescent="0.25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2:21" x14ac:dyDescent="0.25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2:21" x14ac:dyDescent="0.25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2:21" x14ac:dyDescent="0.25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2:21" x14ac:dyDescent="0.25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2:21" x14ac:dyDescent="0.25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2:21" x14ac:dyDescent="0.25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2:21" x14ac:dyDescent="0.25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2:21" x14ac:dyDescent="0.25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2:21" x14ac:dyDescent="0.2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2:21" x14ac:dyDescent="0.25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2:21" x14ac:dyDescent="0.25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2:21" x14ac:dyDescent="0.25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2:21" x14ac:dyDescent="0.25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2:21" x14ac:dyDescent="0.25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2:21" x14ac:dyDescent="0.25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2:21" x14ac:dyDescent="0.25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2:21" x14ac:dyDescent="0.25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2:21" x14ac:dyDescent="0.25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2:21" x14ac:dyDescent="0.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2:21" x14ac:dyDescent="0.25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2:21" x14ac:dyDescent="0.25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2:21" x14ac:dyDescent="0.25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2:21" x14ac:dyDescent="0.25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2:21" x14ac:dyDescent="0.25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2:21" x14ac:dyDescent="0.25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2:21" x14ac:dyDescent="0.25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2:21" x14ac:dyDescent="0.25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2:21" x14ac:dyDescent="0.25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2:21" x14ac:dyDescent="0.2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</sheetData>
  <mergeCells count="31">
    <mergeCell ref="Q49:R49"/>
    <mergeCell ref="A1:C1"/>
    <mergeCell ref="F1:S1"/>
    <mergeCell ref="U1:U2"/>
    <mergeCell ref="Q41:R41"/>
    <mergeCell ref="Q42:R42"/>
    <mergeCell ref="Q43:R43"/>
    <mergeCell ref="Q44:R44"/>
    <mergeCell ref="Q45:R45"/>
    <mergeCell ref="Q46:R46"/>
    <mergeCell ref="Q47:R47"/>
    <mergeCell ref="Q48:R48"/>
    <mergeCell ref="Q61:R61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2:R62"/>
    <mergeCell ref="Q63:R63"/>
    <mergeCell ref="Q64:R64"/>
    <mergeCell ref="Q65:R65"/>
    <mergeCell ref="Q66:R66"/>
    <mergeCell ref="Q67:R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29 Sep - 04 Oct</vt:lpstr>
      <vt:lpstr>06-11 Octubre</vt:lpstr>
      <vt:lpstr>13-18 Octubre</vt:lpstr>
      <vt:lpstr>20-25 Octubre</vt:lpstr>
      <vt:lpstr>27 Oct - 01 Nov</vt:lpstr>
      <vt:lpstr>03-08 Noviembre</vt:lpstr>
      <vt:lpstr>10-15 Noviembre</vt:lpstr>
      <vt:lpstr>17-22 Noviembre</vt:lpstr>
      <vt:lpstr>24-29 Noviembre</vt:lpstr>
      <vt:lpstr>01-06 Diciembre</vt:lpstr>
      <vt:lpstr>08-13 Diciembre</vt:lpstr>
      <vt:lpstr>05-10 Enero 2026</vt:lpstr>
      <vt:lpstr>12-17 Enero 2026</vt:lpstr>
      <vt:lpstr>19-24 Enero 2026</vt:lpstr>
      <vt:lpstr>26-31 Enero 2026</vt:lpstr>
      <vt:lpstr>02-07 Febrero 2026</vt:lpstr>
      <vt:lpstr>09-17 Febrero 2026</vt:lpstr>
      <vt:lpstr>16-21 Febrero 2026</vt:lpstr>
      <vt:lpstr>23-28 Febrero 2026</vt:lpstr>
      <vt:lpstr>02-07 Marzo 2026</vt:lpstr>
      <vt:lpstr>09-14 Marzo 2026</vt:lpstr>
      <vt:lpstr>16-21 Marzo 2026</vt:lpstr>
      <vt:lpstr>23-28 Marzo 2026</vt:lpstr>
      <vt:lpstr>06-11 Abril 2026</vt:lpstr>
      <vt:lpstr>13-18 Abril 2026</vt:lpstr>
      <vt:lpstr>20-25 Abril 2026</vt:lpstr>
      <vt:lpstr>27 Abril - 02 Mayo</vt:lpstr>
      <vt:lpstr>04-09 Mayo 2026</vt:lpstr>
      <vt:lpstr>11-16 Mayo 2026</vt:lpstr>
      <vt:lpstr>18-23 Mayo 2026</vt:lpstr>
      <vt:lpstr>25-30 Mayo 2026</vt:lpstr>
      <vt:lpstr>01-06 Junio 2026</vt:lpstr>
      <vt:lpstr>08-13 Junio 2026</vt:lpstr>
      <vt:lpstr>15-20 Junio 2026</vt:lpstr>
      <vt:lpstr>22-27 Junio 2026</vt:lpstr>
      <vt:lpstr>29 Junio-04 Julio 2026</vt:lpstr>
      <vt:lpstr>06-11 Julio 2026</vt:lpstr>
      <vt:lpstr>13-18 Julio 2026</vt:lpstr>
      <vt:lpstr>03-07 agosto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Lara</dc:creator>
  <cp:lastModifiedBy>Eskin Boots</cp:lastModifiedBy>
  <dcterms:created xsi:type="dcterms:W3CDTF">2025-10-06T14:10:20Z</dcterms:created>
  <dcterms:modified xsi:type="dcterms:W3CDTF">2026-08-07T16:17:14Z</dcterms:modified>
</cp:coreProperties>
</file>